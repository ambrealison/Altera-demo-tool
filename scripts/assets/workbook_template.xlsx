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lcome" sheetId="1" r:id="rId5"/>
    <sheet state="visible" name="Protein Tracker" sheetId="2" r:id="rId6"/>
    <sheet state="visible" name="WWF" sheetId="3" r:id="rId7"/>
    <sheet state="visible" name="By category" sheetId="4" r:id="rId8"/>
    <sheet state="visible" name="By department" sheetId="5" r:id="rId9"/>
    <sheet state="visible" name="By brand" sheetId="6" r:id="rId10"/>
    <sheet state="visible" name="By product" sheetId="7" r:id="rId11"/>
    <sheet state="visible" name="Data" sheetId="8" r:id="rId12"/>
  </sheets>
  <definedNames>
    <definedName hidden="1" localSheetId="0" name="_xlnm._FilterDatabase">Welcome!$A$32:$D$82</definedName>
    <definedName hidden="1" localSheetId="3" name="_xlnm._FilterDatabase">'By category'!$A$27:$G$51</definedName>
    <definedName hidden="1" localSheetId="4" name="_xlnm._FilterDatabase">'By department'!$A$3:$G$15</definedName>
    <definedName hidden="1" localSheetId="5" name="_xlnm._FilterDatabase">'By brand'!$A$3:$G$13</definedName>
    <definedName hidden="1" localSheetId="7" name="_xlnm._FilterDatabase">Data!$A$1:$AD$51</definedName>
  </definedNames>
  <calcPr/>
</workbook>
</file>

<file path=xl/sharedStrings.xml><?xml version="1.0" encoding="utf-8"?>
<sst xmlns="http://schemas.openxmlformats.org/spreadsheetml/2006/main" count="1558" uniqueCount="396">
  <si>
    <t xml:space="preserve"> </t>
  </si>
  <si>
    <t>PROTEIN RATIO
Retailer catalogue - example</t>
  </si>
  <si>
    <t xml:space="preserve">  EXAMPLE - FICTITIOUS DATA</t>
  </si>
  <si>
    <t>Fifty products, chosen so that every table and every chart in the deliverable is populated. The codes, labels, brands, sales ranks and volumes are invented. The protein contents and the classification are real: that is what this workbook is meant to show.</t>
  </si>
  <si>
    <t>What this workbook contains</t>
  </si>
  <si>
    <t>The share of the protein you put on the market that is plant-based, and how it breaks down.</t>
  </si>
  <si>
    <t>How to use it</t>
  </si>
  <si>
    <t>Enter your sales volumes in the yellow column, further down this page. All tabs recalculate automatically.</t>
  </si>
  <si>
    <t>Volumes are pre-filled</t>
  </si>
  <si>
    <t>An estimate is already in the yellow column so that the workbook shows figures straight away. Replace it with your actual volumes.</t>
  </si>
  <si>
    <t>ACCURACY</t>
  </si>
  <si>
    <t>Minimum confidence score of the deliverable, obtained by ensuring that:
- The products with the highest volume have been categorised perfectly
- Difficult products have been categorised 100% correctly
- The categorisation of 500 randomly selected products is above 95%</t>
  </si>
  <si>
    <t>THE TABS</t>
  </si>
  <si>
    <t>Protein Tracker</t>
  </si>
  <si>
    <t>the ratio and the four classes of the GPA methodology</t>
  </si>
  <si>
    <t>WWF</t>
  </si>
  <si>
    <t>the seven food groups, whole versus composite, the detail by subgroup</t>
  </si>
  <si>
    <t>By category</t>
  </si>
  <si>
    <t>the 60 categories carrying the most protein</t>
  </si>
  <si>
    <t>By department</t>
  </si>
  <si>
    <t>the 29 departments</t>
  </si>
  <si>
    <t>By brand</t>
  </si>
  <si>
    <t>the 60 brands carrying the most protein</t>
  </si>
  <si>
    <t>Top and flop</t>
  </si>
  <si>
    <t>the 50 most plant-based products and the 50 least plant-based</t>
  </si>
  <si>
    <t>Data</t>
  </si>
  <si>
    <t>one row per product, 90,000 in total</t>
  </si>
  <si>
    <t xml:space="preserve">  YOUR SALES VOLUMES - enter them in the yellow column</t>
  </si>
  <si>
    <t>Sorted by sales rank: item 1 is the one that sells the most.</t>
  </si>
  <si>
    <t>Sales rank</t>
  </si>
  <si>
    <t>EAN 13</t>
  </si>
  <si>
    <t>Product</t>
  </si>
  <si>
    <t>Volume sold (kg)</t>
  </si>
  <si>
    <t>DEMO000000001</t>
  </si>
  <si>
    <t>Out-of-scope product 01 - 9.00 kg</t>
  </si>
  <si>
    <t>DEMO000000002</t>
  </si>
  <si>
    <t>Fruit or vegetable 01 - 5.00 kg</t>
  </si>
  <si>
    <t>DEMO000000003</t>
  </si>
  <si>
    <t>Refined grain 01 - 1.00 kg</t>
  </si>
  <si>
    <t>DEMO000000004</t>
  </si>
  <si>
    <t>Dairy product 01 - 350 g</t>
  </si>
  <si>
    <t>DEMO000000005</t>
  </si>
  <si>
    <t>Plant-based fat 01 - 920 g</t>
  </si>
  <si>
    <t>DEMO000000006</t>
  </si>
  <si>
    <t>Nuts 01 - 500 g</t>
  </si>
  <si>
    <t>DEMO000000007</t>
  </si>
  <si>
    <t>Red meat 01 - 1.00 kg</t>
  </si>
  <si>
    <t>DEMO000000008</t>
  </si>
  <si>
    <t>Eggs 01 - 750 g</t>
  </si>
  <si>
    <t>DEMO000000009</t>
  </si>
  <si>
    <t>Seeds 01 - 5.00 kg</t>
  </si>
  <si>
    <t>DEMO000000010</t>
  </si>
  <si>
    <t>Whole grain 01 - 825 g</t>
  </si>
  <si>
    <t>DEMO000000011</t>
  </si>
  <si>
    <t>Legume 01 - 800 g</t>
  </si>
  <si>
    <t>DEMO000000012</t>
  </si>
  <si>
    <t>Plant-based dairy alternative 01 - 1.00 kg</t>
  </si>
  <si>
    <t>DEMO000000013</t>
  </si>
  <si>
    <t>Plant-based meat alternative 01 - 210 g</t>
  </si>
  <si>
    <t>DEMO000000014</t>
  </si>
  <si>
    <t>Tofu, tempeh or seitan 01 - 400 g</t>
  </si>
  <si>
    <t>DEMO000000015</t>
  </si>
  <si>
    <t>Fish and seafood 01 - 1.00 kg</t>
  </si>
  <si>
    <t>DEMO000000016</t>
  </si>
  <si>
    <t>Poultry 01 - 600 g</t>
  </si>
  <si>
    <t>DEMO000000017</t>
  </si>
  <si>
    <t>Animal-based fat 01 - 250 g</t>
  </si>
  <si>
    <t>DEMO000000018</t>
  </si>
  <si>
    <t>Other animal product 01 - 500 g</t>
  </si>
  <si>
    <t>DEMO000000019</t>
  </si>
  <si>
    <t>Out-of-scope product 02 - 1.00 kg</t>
  </si>
  <si>
    <t>DEMO000000020</t>
  </si>
  <si>
    <t>Dairy product 02 - 6.00 kg</t>
  </si>
  <si>
    <t>DEMO000000021</t>
  </si>
  <si>
    <t>Vegetarian ready meal 01 - 1.17 kg</t>
  </si>
  <si>
    <t>DEMO000000022</t>
  </si>
  <si>
    <t>Vegan ready meal 01 - 500 g</t>
  </si>
  <si>
    <t>DEMO000000023</t>
  </si>
  <si>
    <t>Meat-based ready meal 01 - 840 g</t>
  </si>
  <si>
    <t>DEMO000000024</t>
  </si>
  <si>
    <t>Fish-based ready meal 01 - 400 g</t>
  </si>
  <si>
    <t>DEMO000000025</t>
  </si>
  <si>
    <t>Out-of-scope product 03 - 1.00 kg</t>
  </si>
  <si>
    <t>DEMO000000026</t>
  </si>
  <si>
    <t>Discretionary product 01 - 750 g</t>
  </si>
  <si>
    <t>DEMO000000027</t>
  </si>
  <si>
    <t>Meat-based ready meal 02 - 2.00 kg</t>
  </si>
  <si>
    <t>DEMO000000028</t>
  </si>
  <si>
    <t>Refined grain 02 - 1.00 kg</t>
  </si>
  <si>
    <t>DEMO000000029</t>
  </si>
  <si>
    <t>Dairy product 03 - 8.00 kg</t>
  </si>
  <si>
    <t>DEMO000000030</t>
  </si>
  <si>
    <t>Plant-based fat 02 - 940 g</t>
  </si>
  <si>
    <t>DEMO000000031</t>
  </si>
  <si>
    <t>Fruit or vegetable 02 - 5.00 kg</t>
  </si>
  <si>
    <t>DEMO000000032</t>
  </si>
  <si>
    <t>Eggs 02 - 932 g</t>
  </si>
  <si>
    <t>DEMO000000033</t>
  </si>
  <si>
    <t>Starchy vegetable 01 - 2.50 kg</t>
  </si>
  <si>
    <t>DEMO000000034</t>
  </si>
  <si>
    <t>Refined grain 03 - 1.00 kg</t>
  </si>
  <si>
    <t>DEMO000000035</t>
  </si>
  <si>
    <t>Discretionary product 02 - 1.00 kg</t>
  </si>
  <si>
    <t>DEMO000000036</t>
  </si>
  <si>
    <t>Dairy product 04 - 500 g</t>
  </si>
  <si>
    <t>DEMO000000037</t>
  </si>
  <si>
    <t>Out-of-scope product 04 - 185 g</t>
  </si>
  <si>
    <t>DEMO000000038</t>
  </si>
  <si>
    <t>Nuts 02 - 200 g</t>
  </si>
  <si>
    <t>DEMO000000039</t>
  </si>
  <si>
    <t>Out-of-scope product 05 - 1.00 kg</t>
  </si>
  <si>
    <t>DEMO000000040</t>
  </si>
  <si>
    <t>Meat-based ready meal 03 - 800 g</t>
  </si>
  <si>
    <t>DEMO000000041</t>
  </si>
  <si>
    <t>Refined grain 04 - 20.00 kg</t>
  </si>
  <si>
    <t>DEMO000000042</t>
  </si>
  <si>
    <t>Dairy product 05 - 10.00 kg</t>
  </si>
  <si>
    <t>DEMO000000043</t>
  </si>
  <si>
    <t>Dairy product 06 - 10.00 kg</t>
  </si>
  <si>
    <t>DEMO000000044</t>
  </si>
  <si>
    <t>Fish and seafood 02 - 1.00 kg</t>
  </si>
  <si>
    <t>DEMO000000045</t>
  </si>
  <si>
    <t>Poultry 02 - 1.40 kg</t>
  </si>
  <si>
    <t>DEMO000000046</t>
  </si>
  <si>
    <t>Dairy product 07 - 8.26 kg</t>
  </si>
  <si>
    <t>DEMO000000047</t>
  </si>
  <si>
    <t>Dairy product 08 - 8.00 kg</t>
  </si>
  <si>
    <t>DEMO000000048</t>
  </si>
  <si>
    <t>Fish and seafood 03 - 1.00 kg</t>
  </si>
  <si>
    <t>DEMO000000049</t>
  </si>
  <si>
    <t>Eggs 03 - 1.59 kg</t>
  </si>
  <si>
    <t>DEMO000000050</t>
  </si>
  <si>
    <t>Poultry 03 - 1.00 kg</t>
  </si>
  <si>
    <t xml:space="preserve">  BY CATEGORY</t>
  </si>
  <si>
    <t xml:space="preserve">  WWF - PLANET-BASED DIETS · REPORT IN APPENDIX D FORMAT</t>
  </si>
  <si>
    <t>WWF sub-groups</t>
  </si>
  <si>
    <t>METHODOLOGY</t>
  </si>
  <si>
    <t>WWF Planet-Based Diets</t>
  </si>
  <si>
    <t>INPUT DATA</t>
  </si>
  <si>
    <t>retailer catalogue - example, 50 products, volumes entered on the Welcome tab</t>
  </si>
  <si>
    <t>WWF subgroup</t>
  </si>
  <si>
    <t>STEP</t>
  </si>
  <si>
    <t>Mass (t)</t>
  </si>
  <si>
    <t>Step 1 - product level</t>
  </si>
  <si>
    <t xml:space="preserve">  WHOLE PRODUCTS</t>
  </si>
  <si>
    <t>Protein (t)</t>
  </si>
  <si>
    <t>Plant protein (t)</t>
  </si>
  <si>
    <t>Animal protein (t)</t>
  </si>
  <si>
    <t>Plant share (weight)</t>
  </si>
  <si>
    <t>Animal share (weight)</t>
  </si>
  <si>
    <t>FG1 · red_meat</t>
  </si>
  <si>
    <t>Dairy equivalents - Retailer</t>
  </si>
  <si>
    <t>Product mass - Retailer</t>
  </si>
  <si>
    <t>Protein - Retailer</t>
  </si>
  <si>
    <t>Share</t>
  </si>
  <si>
    <t>PHD</t>
  </si>
  <si>
    <t>FOOD GROUP 1</t>
  </si>
  <si>
    <t>Plant-Based</t>
  </si>
  <si>
    <t>FG1 · poultry</t>
  </si>
  <si>
    <t xml:space="preserve">  PROTEIN TRACKER - Green Protein Alliance</t>
  </si>
  <si>
    <t>Plant share of protein</t>
  </si>
  <si>
    <t xml:space="preserve">    Pulses</t>
  </si>
  <si>
    <t>across the Protein Tracker scope</t>
  </si>
  <si>
    <t>Each product falls into one class and only one. The four classes below cover the whole scope.</t>
  </si>
  <si>
    <t xml:space="preserve">  THE FOUR CLASSES</t>
  </si>
  <si>
    <t>FG1 · seafood</t>
  </si>
  <si>
    <t>Animal core</t>
  </si>
  <si>
    <t>—</t>
  </si>
  <si>
    <t>Animal and plant composite</t>
  </si>
  <si>
    <t xml:space="preserve">    Nuts</t>
  </si>
  <si>
    <t>Plant-based non-core</t>
  </si>
  <si>
    <t>FG1 · eggs</t>
  </si>
  <si>
    <t>Plant-based core</t>
  </si>
  <si>
    <t xml:space="preserve">    Seeds</t>
  </si>
  <si>
    <t>Total</t>
  </si>
  <si>
    <t>FG1 · other_animal</t>
  </si>
  <si>
    <t xml:space="preserve">  THE DETAIL OF EACH CLASS</t>
  </si>
  <si>
    <t>The two core groups are broken down into subgroups. Please note the Animal core subgroups are not a part of the Protein Tracker methodology but are included voluntarily by Altera.</t>
  </si>
  <si>
    <t xml:space="preserve">    Alternative Products</t>
  </si>
  <si>
    <t xml:space="preserve">    Red meat</t>
  </si>
  <si>
    <t xml:space="preserve">    Poultry</t>
  </si>
  <si>
    <t>FG1 · legumes</t>
  </si>
  <si>
    <t xml:space="preserve">    Fish and seafood</t>
  </si>
  <si>
    <t xml:space="preserve">    Tofu, tempeh &amp; seitan</t>
  </si>
  <si>
    <t xml:space="preserve">    Eggs</t>
  </si>
  <si>
    <t xml:space="preserve">  BY DEPARTMENT</t>
  </si>
  <si>
    <t xml:space="preserve">    Other animals (snails)</t>
  </si>
  <si>
    <t>Animal-Based</t>
  </si>
  <si>
    <t>FG1 · nuts</t>
  </si>
  <si>
    <t>Department</t>
  </si>
  <si>
    <t>Plant share</t>
  </si>
  <si>
    <t>Animal share</t>
  </si>
  <si>
    <t xml:space="preserve">    Cheese</t>
  </si>
  <si>
    <t>Fruits and vegetables</t>
  </si>
  <si>
    <t xml:space="preserve">    Milk, yoghurts and creams</t>
  </si>
  <si>
    <t>Dairy</t>
  </si>
  <si>
    <t>FG1 · seeds</t>
  </si>
  <si>
    <t>Sweet grocery</t>
  </si>
  <si>
    <t xml:space="preserve">    Other</t>
  </si>
  <si>
    <t>Savoury grocery</t>
  </si>
  <si>
    <t>Bakery</t>
  </si>
  <si>
    <t>Poultry</t>
  </si>
  <si>
    <t>FG1 · tofu_tempeh_seitan</t>
  </si>
  <si>
    <t>Fish counter</t>
  </si>
  <si>
    <t>Cheese</t>
  </si>
  <si>
    <t>Frozen</t>
  </si>
  <si>
    <t>FG1 · meat_egg_seafood_alternatives</t>
  </si>
  <si>
    <t>Bulk</t>
  </si>
  <si>
    <t>Deli</t>
  </si>
  <si>
    <t xml:space="preserve">    Plant-based meat alternatives</t>
  </si>
  <si>
    <t xml:space="preserve">    Fish &amp; Shellfish</t>
  </si>
  <si>
    <t xml:space="preserve">    Tofu, tempeh, seitan</t>
  </si>
  <si>
    <t>FG2 · dairy_animal</t>
  </si>
  <si>
    <t xml:space="preserve">    Plant-based dairy alternatives</t>
  </si>
  <si>
    <t>FG2 · dairy_alternative_plant</t>
  </si>
  <si>
    <t xml:space="preserve">    Other (e.g. snails)</t>
  </si>
  <si>
    <t xml:space="preserve">  MASS AND PLANT / ANIMAL SPLIT</t>
  </si>
  <si>
    <t>Class</t>
  </si>
  <si>
    <t>Plant core</t>
  </si>
  <si>
    <t>Plant non-core</t>
  </si>
  <si>
    <t>FOOD GROUP 2</t>
  </si>
  <si>
    <t>FG3 · animal_based_fat</t>
  </si>
  <si>
    <t>Animal-plant-based composite</t>
  </si>
  <si>
    <t>Dairy Alternatives</t>
  </si>
  <si>
    <t>FG3 · plant_based_fat</t>
  </si>
  <si>
    <t>N/A</t>
  </si>
  <si>
    <t>Outside the scope</t>
  </si>
  <si>
    <t>outside scope - non-food</t>
  </si>
  <si>
    <t>FOOD GROUP 3</t>
  </si>
  <si>
    <t>Animal-Based Fats</t>
  </si>
  <si>
    <t>FG5 · whole_grain</t>
  </si>
  <si>
    <t xml:space="preserve">  BY BRAND</t>
  </si>
  <si>
    <t>Brand</t>
  </si>
  <si>
    <t>Plant-Based Fats</t>
  </si>
  <si>
    <t>Brand B</t>
  </si>
  <si>
    <t>FG5 · refined_grain</t>
  </si>
  <si>
    <t>Brand D</t>
  </si>
  <si>
    <t>FOOD GROUP 4</t>
  </si>
  <si>
    <t>Fruits &amp; Vegetables</t>
  </si>
  <si>
    <t>Brand H</t>
  </si>
  <si>
    <t>Brand E</t>
  </si>
  <si>
    <t>Food groups FG4, FG6 and FG7 have no subgroup and therefore do not appear above; they are detailed on the WWF tab.</t>
  </si>
  <si>
    <t>Retailer categories</t>
  </si>
  <si>
    <t>Category</t>
  </si>
  <si>
    <t>Brand C</t>
  </si>
  <si>
    <t>FOOD GROUP 5</t>
  </si>
  <si>
    <t>Whole Grains</t>
  </si>
  <si>
    <t xml:space="preserve">  BY PRODUCT - top 20 plant-based &amp; top 20 animal-based by protein content</t>
  </si>
  <si>
    <t xml:space="preserve">  The 20 most plant-based by protein content</t>
  </si>
  <si>
    <t>Brand F</t>
  </si>
  <si>
    <t>Food group</t>
  </si>
  <si>
    <t>Unit weight (kg)</t>
  </si>
  <si>
    <t>Volume sold (units)</t>
  </si>
  <si>
    <t>Protein (g/100 g)</t>
  </si>
  <si>
    <t>Plant share (protein)</t>
  </si>
  <si>
    <t>Refined grain - category</t>
  </si>
  <si>
    <t>FG5</t>
  </si>
  <si>
    <t>Fruit or vegetable - category</t>
  </si>
  <si>
    <t>Brand I</t>
  </si>
  <si>
    <t>Dairy product - category</t>
  </si>
  <si>
    <t>Brand G</t>
  </si>
  <si>
    <t>Brand A</t>
  </si>
  <si>
    <t>Refined Grains</t>
  </si>
  <si>
    <t>Starchy vegetable - category</t>
  </si>
  <si>
    <t>FG4</t>
  </si>
  <si>
    <t>Brand J</t>
  </si>
  <si>
    <t>Whole grain - category</t>
  </si>
  <si>
    <t>Discretionary product - category</t>
  </si>
  <si>
    <t>FG6</t>
  </si>
  <si>
    <t>FOOD GROUP 6</t>
  </si>
  <si>
    <t>Eggs - category</t>
  </si>
  <si>
    <t>Starchy Vegetables</t>
  </si>
  <si>
    <t>Poultry - category</t>
  </si>
  <si>
    <t>Out-of-scope product - category</t>
  </si>
  <si>
    <t>outside WWF scope</t>
  </si>
  <si>
    <t>Plant-based fat - category</t>
  </si>
  <si>
    <t>FOOD GROUP 7</t>
  </si>
  <si>
    <t>Legume - category</t>
  </si>
  <si>
    <t>FG1</t>
  </si>
  <si>
    <t>Fish and seafood - category</t>
  </si>
  <si>
    <t>Nuts - category</t>
  </si>
  <si>
    <t>Plant-based dairy alternative - category</t>
  </si>
  <si>
    <t>Meat-based ready meal - category</t>
  </si>
  <si>
    <t>FG2</t>
  </si>
  <si>
    <t>Vegetarian ready meal - category</t>
  </si>
  <si>
    <t>Seeds - category</t>
  </si>
  <si>
    <t>Animal-based fat - category</t>
  </si>
  <si>
    <t>Subgroup</t>
  </si>
  <si>
    <t>Origin</t>
  </si>
  <si>
    <t>Composite product</t>
  </si>
  <si>
    <t>Composite category</t>
  </si>
  <si>
    <t>Protein Tracker class</t>
  </si>
  <si>
    <t>of which plant</t>
  </si>
  <si>
    <t>of which animal</t>
  </si>
  <si>
    <t>Mass (kg)</t>
  </si>
  <si>
    <t>Plant protein (kg)</t>
  </si>
  <si>
    <t>Animal protein (kg)</t>
  </si>
  <si>
    <t>Ingredient list</t>
  </si>
  <si>
    <t>In WWF scope</t>
  </si>
  <si>
    <t>In Protein Tracker scope</t>
  </si>
  <si>
    <t>WWF confidence (/100)</t>
  </si>
  <si>
    <t>PT confidence (/100)</t>
  </si>
  <si>
    <t>Source of protein value</t>
  </si>
  <si>
    <t>Source of protein split</t>
  </si>
  <si>
    <t>Data level (A or B)</t>
  </si>
  <si>
    <t>Dairy equivalent factor</t>
  </si>
  <si>
    <t>Dairy equivalent mass (kg)</t>
  </si>
  <si>
    <t>Beverages</t>
  </si>
  <si>
    <t>plant_non_core</t>
  </si>
  <si>
    <t>Vegan ready meal - category</t>
  </si>
  <si>
    <t>not applicable</t>
  </si>
  <si>
    <t>Red meat - category</t>
  </si>
  <si>
    <t>Tofu, tempeh or seitan - category</t>
  </si>
  <si>
    <t>Origin not determined</t>
  </si>
  <si>
    <t>FG3</t>
  </si>
  <si>
    <t>Fish-based ready meal - category</t>
  </si>
  <si>
    <t>No</t>
  </si>
  <si>
    <t>Yes</t>
  </si>
  <si>
    <t>outside scope</t>
  </si>
  <si>
    <t>rule, no score</t>
  </si>
  <si>
    <t>retailer - same product, other format</t>
  </si>
  <si>
    <t>to be determined - see ARBITRAGE_partages_orphelins.xlsx</t>
  </si>
  <si>
    <t>B</t>
  </si>
  <si>
    <t>plant_based</t>
  </si>
  <si>
    <t xml:space="preserve">  The 20 most animal-based by protein content</t>
  </si>
  <si>
    <t>95.0</t>
  </si>
  <si>
    <t>retailer</t>
  </si>
  <si>
    <t>exact - whole single-ingredient product (fresh department, no ingredient list)</t>
  </si>
  <si>
    <t>A</t>
  </si>
  <si>
    <t>dairy_animal</t>
  </si>
  <si>
    <t>animal_based</t>
  </si>
  <si>
    <t>animal_core</t>
  </si>
  <si>
    <t>FOOD GROUP 1 PROPORTION BY SOURCE</t>
  </si>
  <si>
    <t xml:space="preserve">    Plant</t>
  </si>
  <si>
    <t>exact - all ingredients on the same side</t>
  </si>
  <si>
    <t>Plant-based meat alternative - category</t>
  </si>
  <si>
    <t>retailer - implausible content corrected on 25 Aug 2026</t>
  </si>
  <si>
    <t>refined_grain</t>
  </si>
  <si>
    <t>FG7</t>
  </si>
  <si>
    <t>animal-plant-based composite</t>
  </si>
  <si>
    <t>75.0</t>
  </si>
  <si>
    <t>exact - all percentages declared</t>
  </si>
  <si>
    <t>eggs</t>
  </si>
  <si>
    <t xml:space="preserve">    Animal</t>
  </si>
  <si>
    <t>deduced from the origin of the product - the protein follows its single side</t>
  </si>
  <si>
    <t>whole_grain</t>
  </si>
  <si>
    <t>poultry</t>
  </si>
  <si>
    <t>Other animal product - category</t>
  </si>
  <si>
    <t>40.0</t>
  </si>
  <si>
    <t>95</t>
  </si>
  <si>
    <t>HERBS department</t>
  </si>
  <si>
    <t>plant_based_fat</t>
  </si>
  <si>
    <t>seafood</t>
  </si>
  <si>
    <t>FOOD GROUP 2 PROPORTION BY SOURCE</t>
  </si>
  <si>
    <t>CIQUAL</t>
  </si>
  <si>
    <t>90.0</t>
  </si>
  <si>
    <t>WHOLE DIET PROPORTION BY SOURCE</t>
  </si>
  <si>
    <t>OpenFoodFacts</t>
  </si>
  <si>
    <t>dairy_alternative_plant</t>
  </si>
  <si>
    <t>plant_core</t>
  </si>
  <si>
    <t>legumes</t>
  </si>
  <si>
    <t>meat_based</t>
  </si>
  <si>
    <t>50/50 by convention - not deducible from the ingredients</t>
  </si>
  <si>
    <t>vegetarian</t>
  </si>
  <si>
    <t>animal_based_fat</t>
  </si>
  <si>
    <t xml:space="preserve">  COMPOSITE PRODUCTS</t>
  </si>
  <si>
    <t>Share of composites in measured sales</t>
  </si>
  <si>
    <t>red_meat</t>
  </si>
  <si>
    <t>COMPOSITION</t>
  </si>
  <si>
    <t>Meat-based</t>
  </si>
  <si>
    <t>nuts</t>
  </si>
  <si>
    <t>Seafood-based</t>
  </si>
  <si>
    <t>seafood_based</t>
  </si>
  <si>
    <t>Vegetarian</t>
  </si>
  <si>
    <t>ACCESSORIES department</t>
  </si>
  <si>
    <t>seeds</t>
  </si>
  <si>
    <t>vegan</t>
  </si>
  <si>
    <t>Vegan</t>
  </si>
  <si>
    <t>meat_egg_seafood_alternatives</t>
  </si>
  <si>
    <t>tofu_tempeh_seitan</t>
  </si>
  <si>
    <t>other_animal</t>
  </si>
  <si>
    <t>PHD column: the Planetary Health Diet proportions as printed in the "PHD" column of Appendix D of the WWF Planet-based diet methodology. A dash flags a row for which Appendix D gives no target.</t>
  </si>
  <si>
    <t xml:space="preserve">The weights after applying the WWF methodology in Appendix B dairy equivalents) are the primary columns (left-hand side). The right-hand column gives the product mass actually sold, without this conversion. </t>
  </si>
  <si>
    <t>Composites are counted at the total weight of the product, as the "composite product level" approach of step 1 prescribes.</t>
  </si>
  <si>
    <t xml:space="preserve">  THE SAME BREAKDOWN, IN PROTEIN</t>
  </si>
  <si>
    <t xml:space="preserve">The mass and protein columns are in product mass, without the Appendix B dairy equivalent. </t>
  </si>
  <si>
    <t>FG1 · Proteins</t>
  </si>
  <si>
    <t>FG2 · Dairy products and alternatives</t>
  </si>
  <si>
    <t>FG3 · Fats</t>
  </si>
  <si>
    <t>FG4 · Fruits and vegetables</t>
  </si>
  <si>
    <t>FG5 · Cereals</t>
  </si>
  <si>
    <t>FG6 · Starchy vegetables</t>
  </si>
  <si>
    <t>FG7 · Discretionary</t>
  </si>
  <si>
    <t>The rest of the catalogue</t>
  </si>
  <si>
    <t>Composite products</t>
  </si>
  <si>
    <t>Outside WWF scope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</si>
</sst>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 %"/>
    <numFmt numFmtId="165" formatCode="0.0 %"/>
    <numFmt numFmtId="166" formatCode="0.000"/>
    <numFmt numFmtId="167" formatCode="0.0"/>
    <numFmt numFmtId="168" formatCode="#,##0.0"/>
  </numFmts>
  <fonts count="27">
    <font>
      <sz val="11.0"/>
      <color theme="1"/>
      <name val="Calibri"/>
      <scheme val="minor"/>
    </font>
    <font>
      <color theme="1"/>
      <name val="Calibri"/>
    </font>
    <font>
      <b/>
      <sz val="20.0"/>
      <color rgb="FF1F3864"/>
      <name val="Arial"/>
    </font>
    <font>
      <b/>
      <sz val="12.0"/>
      <color rgb="FFFFFFFF"/>
      <name val="Arial"/>
    </font>
    <font/>
    <font>
      <sz val="11.0"/>
      <color theme="1"/>
      <name val="Calibri"/>
    </font>
    <font>
      <i/>
      <sz val="9.0"/>
      <color rgb="FF7F7F7F"/>
      <name val="Arial"/>
    </font>
    <font>
      <b/>
      <sz val="11.0"/>
      <color rgb="FF1F3864"/>
      <name val="Arial"/>
    </font>
    <font>
      <sz val="11.0"/>
      <color theme="1"/>
      <name val="Arial"/>
    </font>
    <font>
      <b/>
      <sz val="32.0"/>
      <color rgb="FF375623"/>
      <name val="Arial"/>
    </font>
    <font>
      <b/>
      <sz val="11.0"/>
      <color theme="1"/>
      <name val="Arial"/>
    </font>
    <font>
      <b/>
      <color theme="1"/>
      <name val="Arial"/>
    </font>
    <font>
      <color theme="1"/>
      <name val="Arial"/>
    </font>
    <font>
      <sz val="10.0"/>
      <color theme="1"/>
      <name val="Arial"/>
    </font>
    <font>
      <b/>
      <sz val="10.0"/>
      <color theme="1"/>
      <name val="Arial"/>
    </font>
    <font>
      <b/>
      <sz val="11.0"/>
      <color rgb="FFFFFFFF"/>
      <name val="Arial"/>
    </font>
    <font>
      <b/>
      <sz val="9.0"/>
      <color rgb="FF7F7F7F"/>
      <name val="Arial"/>
    </font>
    <font>
      <b/>
      <sz val="9.0"/>
      <color rgb="FF1F3864"/>
      <name val="Arial"/>
    </font>
    <font>
      <b/>
      <sz val="10.0"/>
      <color rgb="FF1F3864"/>
      <name val="Arial"/>
    </font>
    <font>
      <sz val="10.0"/>
      <color rgb="FF7F7F7F"/>
      <name val="Arial"/>
    </font>
    <font>
      <b/>
      <sz val="10.0"/>
      <color rgb="FF375623"/>
      <name val="Arial"/>
    </font>
    <font>
      <b/>
      <sz val="28.0"/>
      <color rgb="FF375623"/>
      <name val="Arial"/>
    </font>
    <font>
      <sz val="10.0"/>
      <color rgb="FF375623"/>
      <name val="Arial"/>
    </font>
    <font>
      <b/>
      <sz val="10.0"/>
      <color rgb="FFFFFFFF"/>
      <name val="Arial"/>
    </font>
    <font>
      <i/>
      <sz val="10.0"/>
      <color theme="1"/>
      <name val="Arial"/>
    </font>
    <font>
      <color theme="1"/>
      <name val="Calibri"/>
      <scheme val="minor"/>
    </font>
    <font>
      <b/>
      <sz val="16.0"/>
      <color rgb="FF375623"/>
      <name val="Arial"/>
    </font>
  </fonts>
  <fills count="9">
    <fill>
      <patternFill patternType="none"/>
    </fill>
    <fill>
      <patternFill patternType="lightGray"/>
    </fill>
    <fill>
      <patternFill patternType="solid">
        <fgColor rgb="FFC55A11"/>
        <bgColor rgb="FFC55A11"/>
      </patternFill>
    </fill>
    <fill>
      <patternFill patternType="solid">
        <fgColor rgb="FFF2F2F2"/>
        <bgColor rgb="FFF2F2F2"/>
      </patternFill>
    </fill>
    <fill>
      <patternFill patternType="solid">
        <fgColor rgb="FFFFF2CC"/>
        <bgColor rgb="FFFFF2CC"/>
      </patternFill>
    </fill>
    <fill>
      <patternFill patternType="solid">
        <fgColor rgb="FF1F3864"/>
        <bgColor rgb="FF1F3864"/>
      </patternFill>
    </fill>
    <fill>
      <patternFill patternType="solid">
        <fgColor rgb="FF375623"/>
        <bgColor rgb="FF375623"/>
      </patternFill>
    </fill>
    <fill>
      <patternFill patternType="solid">
        <fgColor rgb="FFEDF2F9"/>
        <bgColor rgb="FFEDF2F9"/>
      </patternFill>
    </fill>
    <fill>
      <patternFill patternType="solid">
        <fgColor rgb="FFC00000"/>
        <bgColor rgb="FFC00000"/>
      </patternFill>
    </fill>
  </fills>
  <borders count="7">
    <border/>
    <border>
      <left/>
      <top/>
      <bottom/>
    </border>
    <border>
      <top/>
      <bottom/>
    </border>
    <border>
      <bottom style="medium">
        <color rgb="FF1F3864"/>
      </bottom>
    </border>
    <border>
      <left style="thin">
        <color rgb="FFBF8F00"/>
      </left>
      <right style="thin">
        <color rgb="FFBF8F00"/>
      </right>
      <top style="thin">
        <color rgb="FFBF8F00"/>
      </top>
      <bottom style="thin">
        <color rgb="FFBF8F00"/>
      </bottom>
    </border>
    <border>
      <left/>
      <right/>
      <top/>
      <bottom/>
    </border>
    <border>
      <top style="thin">
        <color rgb="FF1F3864"/>
      </top>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center" wrapText="1"/>
    </xf>
    <xf borderId="1" fillId="2" fontId="3" numFmtId="0" xfId="0" applyAlignment="1" applyBorder="1" applyFill="1" applyFont="1">
      <alignment vertical="bottom"/>
    </xf>
    <xf borderId="2" fillId="0" fontId="4" numFmtId="0" xfId="0" applyBorder="1" applyFont="1"/>
    <xf borderId="0" fillId="0" fontId="5" numFmtId="0" xfId="0" applyAlignment="1" applyFont="1">
      <alignment vertical="bottom"/>
    </xf>
    <xf borderId="0" fillId="0" fontId="6" numFmtId="0" xfId="0" applyAlignment="1" applyFont="1">
      <alignment shrinkToFit="0" vertical="top" wrapText="1"/>
    </xf>
    <xf borderId="0" fillId="0" fontId="7" numFmtId="0" xfId="0" applyAlignment="1" applyFont="1">
      <alignment shrinkToFit="0" vertical="top" wrapText="1"/>
    </xf>
    <xf borderId="0" fillId="0" fontId="8" numFmtId="0" xfId="0" applyAlignment="1" applyFont="1">
      <alignment shrinkToFit="0" vertical="top" wrapText="1"/>
    </xf>
    <xf borderId="0" fillId="0" fontId="7" numFmtId="0" xfId="0" applyAlignment="1" applyFont="1">
      <alignment vertical="bottom"/>
    </xf>
    <xf borderId="0" fillId="0" fontId="9" numFmtId="164" xfId="0" applyAlignment="1" applyFont="1" applyNumberFormat="1">
      <alignment horizontal="left" vertical="top"/>
    </xf>
    <xf borderId="0" fillId="0" fontId="10" numFmtId="0" xfId="0" applyAlignment="1" applyFont="1">
      <alignment vertical="bottom"/>
    </xf>
    <xf borderId="0" fillId="0" fontId="8" numFmtId="0" xfId="0" applyAlignment="1" applyFont="1">
      <alignment vertical="bottom"/>
    </xf>
    <xf borderId="0" fillId="0" fontId="11" numFmtId="0" xfId="0" applyAlignment="1" applyFont="1">
      <alignment vertical="bottom"/>
    </xf>
    <xf borderId="0" fillId="0" fontId="12" numFmtId="0" xfId="0" applyAlignment="1" applyFont="1">
      <alignment vertical="bottom"/>
    </xf>
    <xf borderId="0" fillId="0" fontId="12" numFmtId="0" xfId="0" applyAlignment="1" applyFont="1">
      <alignment readingOrder="0" vertical="bottom"/>
    </xf>
    <xf borderId="1" fillId="2" fontId="3" numFmtId="0" xfId="0" applyAlignment="1" applyBorder="1" applyFill="1" applyFont="1">
      <alignment vertical="center"/>
    </xf>
    <xf borderId="0" fillId="0" fontId="13" numFmtId="0" xfId="0" applyFont="1"/>
    <xf borderId="3" fillId="3" fontId="14" numFmtId="0" xfId="0" applyAlignment="1" applyBorder="1" applyFill="1" applyFont="1">
      <alignment horizontal="left" shrinkToFit="0" vertical="bottom" wrapText="1"/>
    </xf>
    <xf borderId="3" fillId="3" fontId="14" numFmtId="0" xfId="0" applyAlignment="1" applyBorder="1" applyFill="1" applyFont="1">
      <alignment horizontal="left" readingOrder="0" shrinkToFit="0" vertical="bottom" wrapText="1"/>
    </xf>
    <xf borderId="3" fillId="3" fontId="14" numFmtId="0" xfId="0" applyAlignment="1" applyBorder="1" applyFill="1" applyFont="1">
      <alignment horizontal="right" shrinkToFit="0" vertical="bottom" wrapText="1"/>
    </xf>
    <xf borderId="0" fillId="0" fontId="13" numFmtId="0" xfId="0" applyAlignment="1" applyFont="1">
      <alignment horizontal="left"/>
    </xf>
    <xf borderId="4" fillId="4" fontId="5" numFmtId="3" xfId="0" applyBorder="1" applyFill="1" applyFont="1" applyNumberFormat="1"/>
    <xf borderId="1" fillId="5" fontId="15" numFmtId="0" xfId="0" applyAlignment="1" applyBorder="1" applyFill="1" applyFont="1">
      <alignment vertical="center"/>
    </xf>
    <xf borderId="1" fillId="6" fontId="15" numFmtId="0" xfId="0" applyAlignment="1" applyBorder="1" applyFill="1" applyFont="1">
      <alignment readingOrder="0" vertical="center"/>
    </xf>
    <xf borderId="0" fillId="0" fontId="16" numFmtId="0" xfId="0" applyFont="1"/>
    <xf borderId="1" fillId="6" fontId="15" numFmtId="0" xfId="0" applyAlignment="1" applyBorder="1" applyFill="1" applyFont="1">
      <alignment vertical="center"/>
    </xf>
    <xf borderId="1" fillId="7" fontId="17" numFmtId="0" xfId="0" applyAlignment="1" applyBorder="1" applyFill="1" applyFont="1">
      <alignment horizontal="center"/>
    </xf>
    <xf borderId="0" fillId="0" fontId="5" numFmtId="3" xfId="0" applyFont="1" applyNumberFormat="1"/>
    <xf borderId="5" fillId="7" fontId="18" numFmtId="0" xfId="0" applyBorder="1" applyFill="1" applyFont="1"/>
    <xf borderId="5" fillId="7" fontId="5" numFmtId="0" xfId="0" applyBorder="1" applyFill="1" applyFont="1"/>
    <xf borderId="0" fillId="0" fontId="14" numFmtId="0" xfId="0" applyFont="1"/>
    <xf borderId="0" fillId="0" fontId="5" numFmtId="165" xfId="0" applyFont="1" applyNumberFormat="1"/>
    <xf borderId="0" fillId="0" fontId="14" numFmtId="3" xfId="0" applyFont="1" applyNumberFormat="1"/>
    <xf borderId="0" fillId="0" fontId="14" numFmtId="165" xfId="0" applyFont="1" applyNumberFormat="1"/>
    <xf borderId="0" fillId="0" fontId="19" numFmtId="164" xfId="0" applyAlignment="1" applyFont="1" applyNumberFormat="1">
      <alignment horizontal="right"/>
    </xf>
    <xf borderId="0" fillId="0" fontId="19" numFmtId="3" xfId="0" applyFont="1" applyNumberFormat="1"/>
    <xf borderId="0" fillId="0" fontId="19" numFmtId="165" xfId="0" applyFont="1" applyNumberFormat="1"/>
    <xf borderId="0" fillId="0" fontId="7" numFmtId="0" xfId="0" applyFont="1"/>
    <xf borderId="0" fillId="0" fontId="20" numFmtId="3" xfId="0" applyFont="1" applyNumberFormat="1"/>
    <xf borderId="0" fillId="0" fontId="20" numFmtId="165" xfId="0" applyFont="1" applyNumberFormat="1"/>
    <xf borderId="0" fillId="0" fontId="21" numFmtId="165" xfId="0" applyAlignment="1" applyFont="1" applyNumberFormat="1">
      <alignment horizontal="left" vertical="center"/>
    </xf>
    <xf borderId="0" fillId="0" fontId="6" numFmtId="0" xfId="0" applyFont="1"/>
    <xf borderId="6" fillId="0" fontId="14" numFmtId="0" xfId="0" applyBorder="1" applyFont="1"/>
    <xf borderId="0" fillId="0" fontId="19" numFmtId="0" xfId="0" applyAlignment="1" applyFont="1">
      <alignment horizontal="right"/>
    </xf>
    <xf borderId="0" fillId="0" fontId="22" numFmtId="3" xfId="0" applyFont="1" applyNumberFormat="1"/>
    <xf borderId="0" fillId="0" fontId="22" numFmtId="165" xfId="0" applyFont="1" applyNumberFormat="1"/>
    <xf borderId="0" fillId="0" fontId="13" numFmtId="0" xfId="0" applyAlignment="1" applyFont="1">
      <alignment readingOrder="0" shrinkToFit="0" wrapText="1"/>
    </xf>
    <xf borderId="6" fillId="8" fontId="23" numFmtId="0" xfId="0" applyBorder="1" applyFill="1" applyFont="1"/>
    <xf borderId="5" fillId="8" fontId="5" numFmtId="0" xfId="0" applyBorder="1" applyFill="1" applyFont="1"/>
    <xf borderId="0" fillId="0" fontId="12" numFmtId="0" xfId="0" applyAlignment="1" applyFont="1">
      <alignment vertical="bottom"/>
    </xf>
    <xf borderId="0" fillId="0" fontId="24" numFmtId="0" xfId="0" applyFont="1"/>
    <xf borderId="5" fillId="6" fontId="23" numFmtId="0" xfId="0" applyBorder="1" applyFill="1" applyFont="1"/>
    <xf borderId="5" fillId="6" fontId="5" numFmtId="0" xfId="0" applyBorder="1" applyFill="1" applyFont="1"/>
    <xf borderId="0" fillId="0" fontId="13" numFmtId="0" xfId="0" applyAlignment="1" applyFont="1">
      <alignment readingOrder="0"/>
    </xf>
    <xf borderId="0" fillId="0" fontId="25" numFmtId="0" xfId="0" applyFont="1"/>
    <xf borderId="6" fillId="0" fontId="14" numFmtId="3" xfId="0" applyBorder="1" applyFont="1" applyNumberFormat="1"/>
    <xf borderId="6" fillId="0" fontId="14" numFmtId="165" xfId="0" applyBorder="1" applyFont="1" applyNumberFormat="1"/>
    <xf borderId="1" fillId="5" fontId="15" numFmtId="0" xfId="0" applyAlignment="1" applyBorder="1" applyFill="1" applyFont="1">
      <alignment readingOrder="0" vertical="center"/>
    </xf>
    <xf borderId="0" fillId="0" fontId="5" numFmtId="166" xfId="0" applyFont="1" applyNumberFormat="1"/>
    <xf borderId="0" fillId="0" fontId="5" numFmtId="167" xfId="0" applyFont="1" applyNumberFormat="1"/>
    <xf borderId="0" fillId="0" fontId="5" numFmtId="168" xfId="0" applyFont="1" applyNumberFormat="1"/>
    <xf borderId="3" fillId="3" fontId="14" numFmtId="0" xfId="0" applyAlignment="1" applyBorder="1" applyFill="1" applyFont="1">
      <alignment horizontal="center" shrinkToFit="0" vertical="bottom" wrapText="1"/>
    </xf>
    <xf borderId="1" fillId="2" fontId="15" numFmtId="0" xfId="0" applyAlignment="1" applyBorder="1" applyFill="1" applyFont="1">
      <alignment readingOrder="0" vertical="center"/>
    </xf>
    <xf borderId="0" fillId="0" fontId="1" numFmtId="0" xfId="0" applyAlignment="1" applyFont="1">
      <alignment readingOrder="0"/>
    </xf>
    <xf borderId="0" fillId="0" fontId="26" numFmtId="165" xfId="0" applyFont="1" applyNumberFormat="1"/>
    <xf borderId="0" fillId="0" fontId="6"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Protein breakdown</a:t>
            </a:r>
          </a:p>
        </c:rich>
      </c:tx>
      <c:overlay val="0"/>
    </c:title>
    <c:plotArea>
      <c:layout/>
      <c:barChart>
        <c:barDir val="col"/>
        <c:grouping val="percentStacked"/>
        <c:ser>
          <c:idx val="0"/>
          <c:order val="0"/>
          <c:tx>
            <c:strRef>
              <c:f>'Protein Tracker'!$A$11</c:f>
            </c:strRef>
          </c:tx>
          <c:spPr>
            <a:solidFill>
              <a:srgbClr val="C00000"/>
            </a:solidFill>
            <a:ln cmpd="sng">
              <a:noFill/>
            </a:ln>
          </c:spPr>
          <c:invertIfNegative val="0"/>
          <c:val>
            <c:numRef>
              <c:f>'Protein Tracker'!$B$11</c:f>
              <c:numCache/>
            </c:numRef>
          </c:val>
        </c:ser>
        <c:ser>
          <c:idx val="1"/>
          <c:order val="1"/>
          <c:tx>
            <c:strRef>
              <c:f>'Protein Tracker'!$A$12</c:f>
            </c:strRef>
          </c:tx>
          <c:spPr>
            <a:solidFill>
              <a:srgbClr val="D99694"/>
            </a:solidFill>
            <a:ln cmpd="sng">
              <a:noFill/>
            </a:ln>
          </c:spPr>
          <c:invertIfNegative val="0"/>
          <c:val>
            <c:numRef>
              <c:f>'Protein Tracker'!$B$12</c:f>
              <c:numCache/>
            </c:numRef>
          </c:val>
        </c:ser>
        <c:ser>
          <c:idx val="2"/>
          <c:order val="2"/>
          <c:tx>
            <c:strRef>
              <c:f>'Protein Tracker'!$A$13</c:f>
            </c:strRef>
          </c:tx>
          <c:spPr>
            <a:solidFill>
              <a:srgbClr val="A9D3AB"/>
            </a:solidFill>
            <a:ln cmpd="sng">
              <a:noFill/>
            </a:ln>
          </c:spPr>
          <c:invertIfNegative val="0"/>
          <c:val>
            <c:numRef>
              <c:f>'Protein Tracker'!$B$13</c:f>
              <c:numCache/>
            </c:numRef>
          </c:val>
        </c:ser>
        <c:ser>
          <c:idx val="3"/>
          <c:order val="3"/>
          <c:tx>
            <c:strRef>
              <c:f>'Protein Tracker'!$A$14</c:f>
            </c:strRef>
          </c:tx>
          <c:spPr>
            <a:solidFill>
              <a:srgbClr val="375623"/>
            </a:solidFill>
            <a:ln cmpd="sng">
              <a:noFill/>
            </a:ln>
          </c:spPr>
          <c:invertIfNegative val="0"/>
          <c:val>
            <c:numRef>
              <c:f>'Protein Tracker'!$B$14</c:f>
              <c:numCache/>
            </c:numRef>
          </c:val>
        </c:ser>
        <c:overlap val="100"/>
        <c:axId val="1358820277"/>
        <c:axId val="357803108"/>
      </c:barChart>
      <c:catAx>
        <c:axId val="13588202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357803108"/>
      </c:catAx>
      <c:valAx>
        <c:axId val="357803108"/>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Share of protein</a:t>
                </a:r>
              </a:p>
            </c:rich>
          </c:tx>
          <c:overlay val="0"/>
        </c:title>
        <c:numFmt formatCode="0 %" sourceLinked="0"/>
        <c:majorTickMark val="none"/>
        <c:minorTickMark val="none"/>
        <c:tickLblPos val="nextTo"/>
        <c:spPr>
          <a:ln>
            <a:noFill/>
          </a:ln>
        </c:spPr>
        <c:txPr>
          <a:bodyPr/>
          <a:lstStyle/>
          <a:p>
            <a:pPr lvl="0">
              <a:defRPr b="0" i="0">
                <a:solidFill>
                  <a:srgbClr val="000000"/>
                </a:solidFill>
                <a:latin typeface="+mn-lt"/>
              </a:defRPr>
            </a:pPr>
          </a:p>
        </c:txPr>
        <c:crossAx val="1358820277"/>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Detailed protein breakdown</a:t>
            </a:r>
          </a:p>
        </c:rich>
      </c:tx>
      <c:overlay val="0"/>
    </c:title>
    <c:plotArea>
      <c:layout/>
      <c:barChart>
        <c:barDir val="col"/>
        <c:grouping val="percentStacked"/>
        <c:ser>
          <c:idx val="0"/>
          <c:order val="0"/>
          <c:tx>
            <c:strRef>
              <c:f>'Protein Tracker'!$A$24</c:f>
            </c:strRef>
          </c:tx>
          <c:spPr>
            <a:solidFill>
              <a:srgbClr val="7A0C0C"/>
            </a:solidFill>
            <a:ln cmpd="sng">
              <a:noFill/>
            </a:ln>
          </c:spPr>
          <c:invertIfNegative val="0"/>
          <c:val>
            <c:numRef>
              <c:f>'Protein Tracker'!$B$24</c:f>
              <c:numCache/>
            </c:numRef>
          </c:val>
        </c:ser>
        <c:ser>
          <c:idx val="1"/>
          <c:order val="1"/>
          <c:tx>
            <c:strRef>
              <c:f>'Protein Tracker'!$A$25</c:f>
            </c:strRef>
          </c:tx>
          <c:spPr>
            <a:solidFill>
              <a:srgbClr val="8C1010"/>
            </a:solidFill>
            <a:ln cmpd="sng">
              <a:noFill/>
            </a:ln>
          </c:spPr>
          <c:invertIfNegative val="0"/>
          <c:val>
            <c:numRef>
              <c:f>'Protein Tracker'!$B$25</c:f>
              <c:numCache/>
            </c:numRef>
          </c:val>
        </c:ser>
        <c:ser>
          <c:idx val="2"/>
          <c:order val="2"/>
          <c:tx>
            <c:strRef>
              <c:f>'Protein Tracker'!$A$26</c:f>
            </c:strRef>
          </c:tx>
          <c:spPr>
            <a:solidFill>
              <a:srgbClr val="A32020"/>
            </a:solidFill>
            <a:ln cmpd="sng">
              <a:noFill/>
            </a:ln>
          </c:spPr>
          <c:invertIfNegative val="0"/>
          <c:val>
            <c:numRef>
              <c:f>'Protein Tracker'!$B$26</c:f>
              <c:numCache/>
            </c:numRef>
          </c:val>
        </c:ser>
        <c:ser>
          <c:idx val="3"/>
          <c:order val="3"/>
          <c:tx>
            <c:strRef>
              <c:f>'Protein Tracker'!$A$27</c:f>
            </c:strRef>
          </c:tx>
          <c:spPr>
            <a:solidFill>
              <a:srgbClr val="B82D2D"/>
            </a:solidFill>
            <a:ln cmpd="sng">
              <a:noFill/>
            </a:ln>
          </c:spPr>
          <c:invertIfNegative val="0"/>
          <c:val>
            <c:numRef>
              <c:f>'Protein Tracker'!$B$27</c:f>
              <c:numCache/>
            </c:numRef>
          </c:val>
        </c:ser>
        <c:ser>
          <c:idx val="4"/>
          <c:order val="4"/>
          <c:tx>
            <c:strRef>
              <c:f>'Protein Tracker'!$A$28</c:f>
            </c:strRef>
          </c:tx>
          <c:spPr>
            <a:solidFill>
              <a:srgbClr val="C00000"/>
            </a:solidFill>
            <a:ln cmpd="sng">
              <a:noFill/>
            </a:ln>
          </c:spPr>
          <c:invertIfNegative val="0"/>
          <c:val>
            <c:numRef>
              <c:f>'Protein Tracker'!$B$28</c:f>
              <c:numCache/>
            </c:numRef>
          </c:val>
        </c:ser>
        <c:ser>
          <c:idx val="5"/>
          <c:order val="5"/>
          <c:tx>
            <c:strRef>
              <c:f>'Protein Tracker'!$A$29</c:f>
            </c:strRef>
          </c:tx>
          <c:spPr>
            <a:solidFill>
              <a:srgbClr val="CF3B3B"/>
            </a:solidFill>
            <a:ln cmpd="sng">
              <a:noFill/>
            </a:ln>
          </c:spPr>
          <c:invertIfNegative val="0"/>
          <c:val>
            <c:numRef>
              <c:f>'Protein Tracker'!$B$29</c:f>
              <c:numCache/>
            </c:numRef>
          </c:val>
        </c:ser>
        <c:ser>
          <c:idx val="6"/>
          <c:order val="6"/>
          <c:tx>
            <c:strRef>
              <c:f>'Protein Tracker'!$A$30</c:f>
            </c:strRef>
          </c:tx>
          <c:spPr>
            <a:solidFill>
              <a:srgbClr val="DB5C5C"/>
            </a:solidFill>
            <a:ln cmpd="sng">
              <a:noFill/>
            </a:ln>
          </c:spPr>
          <c:invertIfNegative val="0"/>
          <c:val>
            <c:numRef>
              <c:f>'Protein Tracker'!$B$30</c:f>
              <c:numCache/>
            </c:numRef>
          </c:val>
        </c:ser>
        <c:ser>
          <c:idx val="7"/>
          <c:order val="7"/>
          <c:tx>
            <c:strRef>
              <c:f>'Protein Tracker'!$A$31</c:f>
            </c:strRef>
          </c:tx>
          <c:spPr>
            <a:solidFill>
              <a:srgbClr val="E67D7D"/>
            </a:solidFill>
            <a:ln cmpd="sng">
              <a:noFill/>
            </a:ln>
          </c:spPr>
          <c:invertIfNegative val="0"/>
          <c:val>
            <c:numRef>
              <c:f>'Protein Tracker'!$B$31</c:f>
              <c:numCache/>
            </c:numRef>
          </c:val>
        </c:ser>
        <c:ser>
          <c:idx val="8"/>
          <c:order val="8"/>
          <c:tx>
            <c:strRef>
              <c:f>'Protein Tracker'!$A$33</c:f>
            </c:strRef>
          </c:tx>
          <c:spPr>
            <a:solidFill>
              <a:srgbClr val="EF9E9E"/>
            </a:solidFill>
            <a:ln cmpd="sng">
              <a:noFill/>
            </a:ln>
          </c:spPr>
          <c:invertIfNegative val="0"/>
          <c:val>
            <c:numRef>
              <c:f>'Protein Tracker'!$B$33</c:f>
              <c:numCache/>
            </c:numRef>
          </c:val>
        </c:ser>
        <c:ser>
          <c:idx val="9"/>
          <c:order val="9"/>
          <c:tx>
            <c:strRef>
              <c:f>'Protein Tracker'!$A$34</c:f>
            </c:strRef>
          </c:tx>
          <c:spPr>
            <a:solidFill>
              <a:srgbClr val="EF9E9E"/>
            </a:solidFill>
            <a:ln cmpd="sng">
              <a:noFill/>
            </a:ln>
          </c:spPr>
          <c:invertIfNegative val="0"/>
          <c:val>
            <c:numRef>
              <c:f>'Protein Tracker'!$B$34</c:f>
              <c:numCache/>
            </c:numRef>
          </c:val>
        </c:ser>
        <c:ser>
          <c:idx val="10"/>
          <c:order val="10"/>
          <c:tx>
            <c:strRef>
              <c:f>'Protein Tracker'!$A$35</c:f>
            </c:strRef>
          </c:tx>
          <c:spPr>
            <a:solidFill>
              <a:srgbClr val="B96A68"/>
            </a:solidFill>
            <a:ln cmpd="sng">
              <a:noFill/>
            </a:ln>
          </c:spPr>
          <c:invertIfNegative val="0"/>
          <c:val>
            <c:numRef>
              <c:f>'Protein Tracker'!$B$35</c:f>
              <c:numCache/>
            </c:numRef>
          </c:val>
        </c:ser>
        <c:ser>
          <c:idx val="11"/>
          <c:order val="11"/>
          <c:tx>
            <c:strRef>
              <c:f>'Protein Tracker'!$A$36</c:f>
            </c:strRef>
          </c:tx>
          <c:spPr>
            <a:solidFill>
              <a:srgbClr val="C97A78"/>
            </a:solidFill>
            <a:ln cmpd="sng">
              <a:noFill/>
            </a:ln>
          </c:spPr>
          <c:invertIfNegative val="0"/>
          <c:val>
            <c:numRef>
              <c:f>'Protein Tracker'!$B$36</c:f>
              <c:numCache/>
            </c:numRef>
          </c:val>
        </c:ser>
        <c:ser>
          <c:idx val="12"/>
          <c:order val="12"/>
          <c:tx>
            <c:strRef>
              <c:f>'Protein Tracker'!$A$37</c:f>
            </c:strRef>
          </c:tx>
          <c:spPr>
            <a:solidFill>
              <a:srgbClr val="D99694"/>
            </a:solidFill>
            <a:ln cmpd="sng">
              <a:noFill/>
            </a:ln>
          </c:spPr>
          <c:invertIfNegative val="0"/>
          <c:val>
            <c:numRef>
              <c:f>'Protein Tracker'!$B$37</c:f>
              <c:numCache/>
            </c:numRef>
          </c:val>
        </c:ser>
        <c:ser>
          <c:idx val="13"/>
          <c:order val="13"/>
          <c:tx>
            <c:strRef>
              <c:f>'Protein Tracker'!$A$38</c:f>
            </c:strRef>
          </c:tx>
          <c:spPr>
            <a:solidFill>
              <a:srgbClr val="DEA2A0"/>
            </a:solidFill>
            <a:ln cmpd="sng">
              <a:noFill/>
            </a:ln>
          </c:spPr>
          <c:invertIfNegative val="0"/>
          <c:val>
            <c:numRef>
              <c:f>'Protein Tracker'!$B$38</c:f>
              <c:numCache/>
            </c:numRef>
          </c:val>
        </c:ser>
        <c:ser>
          <c:idx val="14"/>
          <c:order val="14"/>
          <c:tx>
            <c:strRef>
              <c:f>'Protein Tracker'!$A$39</c:f>
            </c:strRef>
          </c:tx>
          <c:spPr>
            <a:solidFill>
              <a:srgbClr val="E3ADAB"/>
            </a:solidFill>
            <a:ln cmpd="sng">
              <a:noFill/>
            </a:ln>
          </c:spPr>
          <c:invertIfNegative val="0"/>
          <c:val>
            <c:numRef>
              <c:f>'Protein Tracker'!$B$39</c:f>
              <c:numCache/>
            </c:numRef>
          </c:val>
        </c:ser>
        <c:overlap val="100"/>
        <c:axId val="187013292"/>
        <c:axId val="1379338344"/>
      </c:barChart>
      <c:catAx>
        <c:axId val="1870132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379338344"/>
      </c:catAx>
      <c:valAx>
        <c:axId val="1379338344"/>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Share of protein</a:t>
                </a:r>
              </a:p>
            </c:rich>
          </c:tx>
          <c:overlay val="0"/>
        </c:title>
        <c:numFmt formatCode="0 %" sourceLinked="0"/>
        <c:majorTickMark val="none"/>
        <c:minorTickMark val="none"/>
        <c:tickLblPos val="nextTo"/>
        <c:spPr>
          <a:ln>
            <a:noFill/>
          </a:ln>
        </c:spPr>
        <c:txPr>
          <a:bodyPr/>
          <a:lstStyle/>
          <a:p>
            <a:pPr lvl="0">
              <a:defRPr b="0" i="0">
                <a:solidFill>
                  <a:srgbClr val="000000"/>
                </a:solidFill>
                <a:latin typeface="+mn-lt"/>
              </a:defRPr>
            </a:pPr>
          </a:p>
        </c:txPr>
        <c:crossAx val="187013292"/>
      </c:valAx>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Protein by food group</a:t>
            </a:r>
          </a:p>
        </c:rich>
      </c:tx>
      <c:overlay val="0"/>
    </c:title>
    <c:plotArea>
      <c:layout/>
      <c:barChart>
        <c:barDir val="col"/>
        <c:grouping val="stacked"/>
        <c:ser>
          <c:idx val="0"/>
          <c:order val="0"/>
          <c:tx>
            <c:strRef>
              <c:f>WWF!$D$71</c:f>
            </c:strRef>
          </c:tx>
          <c:spPr>
            <a:solidFill>
              <a:srgbClr val="375623"/>
            </a:solidFill>
            <a:ln cmpd="sng">
              <a:noFill/>
            </a:ln>
          </c:spPr>
          <c:invertIfNegative val="0"/>
          <c:cat>
            <c:strRef>
              <c:f>WWF!$A$72:$A$78</c:f>
            </c:strRef>
          </c:cat>
          <c:val>
            <c:numRef>
              <c:f>WWF!$D$72:$D$78</c:f>
              <c:numCache/>
            </c:numRef>
          </c:val>
        </c:ser>
        <c:ser>
          <c:idx val="1"/>
          <c:order val="1"/>
          <c:tx>
            <c:strRef>
              <c:f>WWF!$E$71</c:f>
            </c:strRef>
          </c:tx>
          <c:spPr>
            <a:solidFill>
              <a:srgbClr val="A6A6A6"/>
            </a:solidFill>
            <a:ln cmpd="sng">
              <a:noFill/>
            </a:ln>
          </c:spPr>
          <c:invertIfNegative val="0"/>
          <c:cat>
            <c:strRef>
              <c:f>WWF!$A$72:$A$78</c:f>
            </c:strRef>
          </c:cat>
          <c:val>
            <c:numRef>
              <c:f>WWF!$E$72:$E$78</c:f>
              <c:numCache/>
            </c:numRef>
          </c:val>
        </c:ser>
        <c:overlap val="100"/>
        <c:axId val="218227543"/>
        <c:axId val="1776868756"/>
      </c:barChart>
      <c:catAx>
        <c:axId val="2182275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776868756"/>
      </c:catAx>
      <c:valAx>
        <c:axId val="1776868756"/>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Protein (t)</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218227543"/>
      </c:valAx>
    </c:plotArea>
    <c:legend>
      <c:legendPos val="b"/>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Top 15 categories by protein</a:t>
            </a:r>
          </a:p>
        </c:rich>
      </c:tx>
      <c:overlay val="0"/>
    </c:title>
    <c:plotArea>
      <c:layout/>
      <c:barChart>
        <c:barDir val="col"/>
        <c:grouping val="stacked"/>
        <c:ser>
          <c:idx val="0"/>
          <c:order val="0"/>
          <c:tx>
            <c:strRef>
              <c:f>'By category'!$D$27</c:f>
            </c:strRef>
          </c:tx>
          <c:spPr>
            <a:solidFill>
              <a:srgbClr val="375623"/>
            </a:solidFill>
            <a:ln cmpd="sng">
              <a:noFill/>
            </a:ln>
          </c:spPr>
          <c:invertIfNegative val="0"/>
          <c:cat>
            <c:strRef>
              <c:f>'By category'!$A$28:$A$42</c:f>
            </c:strRef>
          </c:cat>
          <c:val>
            <c:numRef>
              <c:f>'By category'!$D$28:$D$42</c:f>
              <c:numCache/>
            </c:numRef>
          </c:val>
        </c:ser>
        <c:ser>
          <c:idx val="1"/>
          <c:order val="1"/>
          <c:tx>
            <c:strRef>
              <c:f>'By category'!$E$27</c:f>
            </c:strRef>
          </c:tx>
          <c:spPr>
            <a:solidFill>
              <a:srgbClr val="A6A6A6"/>
            </a:solidFill>
            <a:ln cmpd="sng">
              <a:noFill/>
            </a:ln>
          </c:spPr>
          <c:invertIfNegative val="0"/>
          <c:cat>
            <c:strRef>
              <c:f>'By category'!$A$28:$A$42</c:f>
            </c:strRef>
          </c:cat>
          <c:val>
            <c:numRef>
              <c:f>'By category'!$E$28:$E$42</c:f>
              <c:numCache/>
            </c:numRef>
          </c:val>
        </c:ser>
        <c:overlap val="100"/>
        <c:axId val="1829325091"/>
        <c:axId val="650734471"/>
      </c:barChart>
      <c:catAx>
        <c:axId val="18293250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650734471"/>
      </c:catAx>
      <c:valAx>
        <c:axId val="650734471"/>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Protein (t)</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829325091"/>
      </c:valAx>
    </c:plotArea>
    <c:legend>
      <c:legendPos val="b"/>
      <c:overlay val="0"/>
      <c:txPr>
        <a:bodyPr/>
        <a:lstStyle/>
        <a:p>
          <a:pPr lvl="0">
            <a:defRPr b="0" i="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Top 12 departments by protein</a:t>
            </a:r>
          </a:p>
        </c:rich>
      </c:tx>
      <c:overlay val="0"/>
    </c:title>
    <c:plotArea>
      <c:layout/>
      <c:barChart>
        <c:barDir val="col"/>
        <c:grouping val="stacked"/>
        <c:ser>
          <c:idx val="0"/>
          <c:order val="0"/>
          <c:tx>
            <c:strRef>
              <c:f>'By department'!$D$3</c:f>
            </c:strRef>
          </c:tx>
          <c:spPr>
            <a:solidFill>
              <a:srgbClr val="375623"/>
            </a:solidFill>
            <a:ln cmpd="sng">
              <a:noFill/>
            </a:ln>
          </c:spPr>
          <c:invertIfNegative val="0"/>
          <c:cat>
            <c:strRef>
              <c:f>'By department'!$A$4:$A$15</c:f>
            </c:strRef>
          </c:cat>
          <c:val>
            <c:numRef>
              <c:f>'By department'!$D$4:$D$15</c:f>
              <c:numCache/>
            </c:numRef>
          </c:val>
        </c:ser>
        <c:ser>
          <c:idx val="1"/>
          <c:order val="1"/>
          <c:tx>
            <c:strRef>
              <c:f>'By department'!$E$3</c:f>
            </c:strRef>
          </c:tx>
          <c:spPr>
            <a:solidFill>
              <a:srgbClr val="A6A6A6"/>
            </a:solidFill>
            <a:ln cmpd="sng">
              <a:noFill/>
            </a:ln>
          </c:spPr>
          <c:invertIfNegative val="0"/>
          <c:cat>
            <c:strRef>
              <c:f>'By department'!$A$4:$A$15</c:f>
            </c:strRef>
          </c:cat>
          <c:val>
            <c:numRef>
              <c:f>'By department'!$E$4:$E$15</c:f>
              <c:numCache/>
            </c:numRef>
          </c:val>
        </c:ser>
        <c:overlap val="100"/>
        <c:axId val="464443222"/>
        <c:axId val="107979559"/>
      </c:barChart>
      <c:catAx>
        <c:axId val="4644432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07979559"/>
      </c:catAx>
      <c:valAx>
        <c:axId val="107979559"/>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Protein (t)</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464443222"/>
      </c:valAx>
    </c:plotArea>
    <c:legend>
      <c:legendPos val="b"/>
      <c:overlay val="0"/>
      <c:txPr>
        <a:bodyPr/>
        <a:lstStyle/>
        <a:p>
          <a:pPr lvl="0">
            <a:defRPr b="0" i="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Top 10 brands by protein</a:t>
            </a:r>
          </a:p>
        </c:rich>
      </c:tx>
      <c:overlay val="0"/>
    </c:title>
    <c:plotArea>
      <c:layout/>
      <c:barChart>
        <c:barDir val="col"/>
        <c:grouping val="stacked"/>
        <c:ser>
          <c:idx val="0"/>
          <c:order val="0"/>
          <c:tx>
            <c:strRef>
              <c:f>'By brand'!$D$3</c:f>
            </c:strRef>
          </c:tx>
          <c:spPr>
            <a:solidFill>
              <a:srgbClr val="375623"/>
            </a:solidFill>
            <a:ln cmpd="sng">
              <a:noFill/>
            </a:ln>
          </c:spPr>
          <c:invertIfNegative val="0"/>
          <c:cat>
            <c:strRef>
              <c:f>'By brand'!$A$4:$A$13</c:f>
            </c:strRef>
          </c:cat>
          <c:val>
            <c:numRef>
              <c:f>'By brand'!$D$4:$D$13</c:f>
              <c:numCache/>
            </c:numRef>
          </c:val>
        </c:ser>
        <c:ser>
          <c:idx val="1"/>
          <c:order val="1"/>
          <c:tx>
            <c:strRef>
              <c:f>'By brand'!$E$3</c:f>
            </c:strRef>
          </c:tx>
          <c:spPr>
            <a:solidFill>
              <a:srgbClr val="A6A6A6"/>
            </a:solidFill>
            <a:ln cmpd="sng">
              <a:noFill/>
            </a:ln>
          </c:spPr>
          <c:invertIfNegative val="0"/>
          <c:cat>
            <c:strRef>
              <c:f>'By brand'!$A$4:$A$13</c:f>
            </c:strRef>
          </c:cat>
          <c:val>
            <c:numRef>
              <c:f>'By brand'!$E$4:$E$13</c:f>
              <c:numCache/>
            </c:numRef>
          </c:val>
        </c:ser>
        <c:overlap val="100"/>
        <c:axId val="1288577946"/>
        <c:axId val="1068537724"/>
      </c:barChart>
      <c:catAx>
        <c:axId val="12885779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068537724"/>
      </c:catAx>
      <c:valAx>
        <c:axId val="1068537724"/>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Protein (t)</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288577946"/>
      </c:valAx>
    </c:plotArea>
    <c:legend>
      <c:legendPos val="b"/>
      <c:overlay val="0"/>
      <c:txPr>
        <a:bodyPr/>
        <a:lstStyle/>
        <a:p>
          <a:pPr lvl="0">
            <a:defRPr b="0" i="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285750</xdr:rowOff>
    </xdr:from>
    <xdr:ext cx="1676400" cy="666750"/>
    <xdr:pic>
      <xdr:nvPicPr>
        <xdr:cNvPr descr="Picture"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28575</xdr:colOff>
      <xdr:row>0</xdr:row>
      <xdr:rowOff>133350</xdr:rowOff>
    </xdr:from>
    <xdr:ext cx="866775" cy="8667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981075</xdr:colOff>
      <xdr:row>0</xdr:row>
      <xdr:rowOff>133350</xdr:rowOff>
    </xdr:from>
    <xdr:ext cx="990600" cy="81915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247650</xdr:colOff>
      <xdr:row>1</xdr:row>
      <xdr:rowOff>180975</xdr:rowOff>
    </xdr:from>
    <xdr:ext cx="4676775" cy="3952875"/>
    <xdr:graphicFrame>
      <xdr:nvGraphicFramePr>
        <xdr:cNvPr id="1" name="Chart 1" title="Graphiqu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476250</xdr:colOff>
      <xdr:row>21</xdr:row>
      <xdr:rowOff>371475</xdr:rowOff>
    </xdr:from>
    <xdr:ext cx="5391150" cy="7915275"/>
    <xdr:graphicFrame>
      <xdr:nvGraphicFramePr>
        <xdr:cNvPr id="4" name="Chart 4" title="Graphique"/>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85</xdr:row>
      <xdr:rowOff>0</xdr:rowOff>
    </xdr:from>
    <xdr:ext cx="7191375" cy="3238500"/>
    <xdr:graphicFrame>
      <xdr:nvGraphicFramePr>
        <xdr:cNvPr id="3" name="Chart 3"/>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27</xdr:row>
      <xdr:rowOff>0</xdr:rowOff>
    </xdr:from>
    <xdr:ext cx="8639175" cy="7839075"/>
    <xdr:graphicFrame>
      <xdr:nvGraphicFramePr>
        <xdr:cNvPr id="2" name="Chart 2" title="Graphiqu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2</xdr:row>
      <xdr:rowOff>0</xdr:rowOff>
    </xdr:from>
    <xdr:ext cx="8639175" cy="3952875"/>
    <xdr:graphicFrame>
      <xdr:nvGraphicFramePr>
        <xdr:cNvPr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2</xdr:row>
      <xdr:rowOff>0</xdr:rowOff>
    </xdr:from>
    <xdr:ext cx="8639175" cy="3952875"/>
    <xdr:graphicFrame>
      <xdr:nvGraphicFramePr>
        <xdr:cNvPr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0"/>
    <col customWidth="1" min="2" max="2" width="30.0"/>
    <col customWidth="1" min="3" max="3" width="33.86"/>
    <col customWidth="1" min="4" max="4" width="22.0"/>
    <col customWidth="1" min="5" max="5" width="16.0"/>
    <col customWidth="1" min="6" max="24" width="8.71"/>
  </cols>
  <sheetData>
    <row r="1" ht="30.0" customHeight="1">
      <c r="A1" s="1" t="s">
        <v>0</v>
      </c>
      <c r="C1" s="2" t="s">
        <v>1</v>
      </c>
    </row>
    <row r="2" ht="30.0" customHeight="1"/>
    <row r="3" ht="30.0" customHeight="1"/>
    <row r="4" ht="30.0" customHeight="1">
      <c r="C4" s="2"/>
      <c r="D4" s="2"/>
      <c r="E4" s="2"/>
    </row>
    <row r="5" ht="15.75" customHeight="1">
      <c r="A5" s="3" t="s">
        <v>2</v>
      </c>
      <c r="B5" s="4"/>
      <c r="C5" s="4"/>
      <c r="D5" s="4"/>
      <c r="E5" s="4"/>
      <c r="F5" s="5"/>
      <c r="G5" s="5"/>
      <c r="H5" s="5"/>
      <c r="I5" s="5"/>
      <c r="J5" s="5"/>
      <c r="K5" s="5"/>
      <c r="L5" s="5"/>
      <c r="M5" s="5"/>
      <c r="N5" s="5"/>
      <c r="O5" s="5"/>
      <c r="P5" s="5"/>
      <c r="Q5" s="5"/>
      <c r="R5" s="5"/>
      <c r="S5" s="5"/>
      <c r="T5" s="5"/>
      <c r="U5" s="5"/>
      <c r="V5" s="5"/>
      <c r="W5" s="5"/>
      <c r="X5" s="5"/>
      <c r="Y5" s="5"/>
    </row>
    <row r="6" ht="30.0" customHeight="1">
      <c r="A6" s="6" t="s">
        <v>3</v>
      </c>
      <c r="F6" s="5"/>
      <c r="G6" s="5"/>
      <c r="H6" s="5"/>
      <c r="I6" s="5"/>
      <c r="J6" s="5"/>
      <c r="K6" s="5"/>
      <c r="L6" s="5"/>
      <c r="M6" s="5"/>
      <c r="N6" s="5"/>
      <c r="O6" s="5"/>
      <c r="P6" s="5"/>
      <c r="Q6" s="5"/>
      <c r="R6" s="5"/>
      <c r="S6" s="5"/>
      <c r="T6" s="5"/>
      <c r="U6" s="5"/>
      <c r="V6" s="5"/>
      <c r="W6" s="5"/>
      <c r="X6" s="5"/>
      <c r="Y6" s="5"/>
    </row>
    <row r="7" ht="15.75" customHeight="1">
      <c r="A7" s="5"/>
      <c r="B7" s="5"/>
      <c r="C7" s="5"/>
      <c r="D7" s="5"/>
      <c r="E7" s="5"/>
      <c r="F7" s="5"/>
      <c r="G7" s="5"/>
      <c r="H7" s="5"/>
      <c r="I7" s="5"/>
      <c r="J7" s="5"/>
      <c r="K7" s="5"/>
      <c r="L7" s="5"/>
      <c r="M7" s="5"/>
      <c r="N7" s="5"/>
      <c r="O7" s="5"/>
      <c r="P7" s="5"/>
      <c r="Q7" s="5"/>
      <c r="R7" s="5"/>
      <c r="S7" s="5"/>
      <c r="T7" s="5"/>
      <c r="U7" s="5"/>
      <c r="V7" s="5"/>
      <c r="W7" s="5"/>
      <c r="X7" s="5"/>
      <c r="Y7" s="5"/>
    </row>
    <row r="8" ht="15.75" customHeight="1">
      <c r="A8" s="7" t="s">
        <v>4</v>
      </c>
      <c r="B8" s="8" t="s">
        <v>5</v>
      </c>
      <c r="F8" s="5"/>
      <c r="G8" s="5"/>
      <c r="H8" s="5"/>
      <c r="I8" s="5"/>
      <c r="J8" s="5"/>
      <c r="K8" s="5"/>
      <c r="L8" s="5"/>
      <c r="M8" s="5"/>
      <c r="N8" s="5"/>
      <c r="O8" s="5"/>
      <c r="P8" s="5"/>
      <c r="Q8" s="5"/>
      <c r="R8" s="5"/>
      <c r="S8" s="5"/>
      <c r="T8" s="5"/>
      <c r="U8" s="5"/>
      <c r="V8" s="5"/>
      <c r="W8" s="5"/>
      <c r="X8" s="5"/>
      <c r="Y8" s="5"/>
    </row>
    <row r="9" ht="15.75" customHeight="1">
      <c r="A9" s="5"/>
      <c r="B9" s="5"/>
      <c r="C9" s="5"/>
      <c r="D9" s="5"/>
      <c r="E9" s="5"/>
      <c r="F9" s="5"/>
      <c r="G9" s="5"/>
      <c r="H9" s="5"/>
      <c r="I9" s="5"/>
      <c r="J9" s="5"/>
      <c r="K9" s="5"/>
      <c r="L9" s="5"/>
      <c r="M9" s="5"/>
      <c r="N9" s="5"/>
      <c r="O9" s="5"/>
      <c r="P9" s="5"/>
      <c r="Q9" s="5"/>
      <c r="R9" s="5"/>
      <c r="S9" s="5"/>
      <c r="T9" s="5"/>
      <c r="U9" s="5"/>
      <c r="V9" s="5"/>
      <c r="W9" s="5"/>
      <c r="X9" s="5"/>
      <c r="Y9" s="5"/>
    </row>
    <row r="10" ht="15.75" customHeight="1">
      <c r="A10" s="7" t="s">
        <v>6</v>
      </c>
      <c r="B10" s="8" t="s">
        <v>7</v>
      </c>
      <c r="F10" s="5"/>
      <c r="G10" s="5"/>
      <c r="H10" s="5"/>
      <c r="I10" s="5"/>
      <c r="J10" s="5"/>
      <c r="K10" s="5"/>
      <c r="L10" s="5"/>
      <c r="M10" s="5"/>
      <c r="N10" s="5"/>
      <c r="O10" s="5"/>
      <c r="P10" s="5"/>
      <c r="Q10" s="5"/>
      <c r="R10" s="5"/>
      <c r="S10" s="5"/>
      <c r="T10" s="5"/>
      <c r="U10" s="5"/>
      <c r="V10" s="5"/>
      <c r="W10" s="5"/>
      <c r="X10" s="5"/>
      <c r="Y10" s="5"/>
    </row>
    <row r="11" ht="15.75" customHeight="1">
      <c r="A11" s="5"/>
      <c r="B11" s="5"/>
      <c r="C11" s="5"/>
      <c r="D11" s="5"/>
      <c r="E11" s="5"/>
      <c r="F11" s="5"/>
      <c r="G11" s="5"/>
      <c r="H11" s="5"/>
      <c r="I11" s="5"/>
      <c r="J11" s="5"/>
      <c r="K11" s="5"/>
      <c r="L11" s="5"/>
      <c r="M11" s="5"/>
      <c r="N11" s="5"/>
      <c r="O11" s="5"/>
      <c r="P11" s="5"/>
      <c r="Q11" s="5"/>
      <c r="R11" s="5"/>
      <c r="S11" s="5"/>
      <c r="T11" s="5"/>
      <c r="U11" s="5"/>
      <c r="V11" s="5"/>
      <c r="W11" s="5"/>
      <c r="X11" s="5"/>
      <c r="Y11" s="5"/>
    </row>
    <row r="12" ht="15.75" customHeight="1">
      <c r="A12" s="7" t="s">
        <v>8</v>
      </c>
      <c r="B12" s="8" t="s">
        <v>9</v>
      </c>
      <c r="F12" s="5"/>
      <c r="G12" s="5"/>
      <c r="H12" s="5"/>
      <c r="I12" s="5"/>
      <c r="J12" s="5"/>
      <c r="K12" s="5"/>
      <c r="L12" s="5"/>
      <c r="M12" s="5"/>
      <c r="N12" s="5"/>
      <c r="O12" s="5"/>
      <c r="P12" s="5"/>
      <c r="Q12" s="5"/>
      <c r="R12" s="5"/>
      <c r="S12" s="5"/>
      <c r="T12" s="5"/>
      <c r="U12" s="5"/>
      <c r="V12" s="5"/>
      <c r="W12" s="5"/>
      <c r="X12" s="5"/>
      <c r="Y12" s="5"/>
    </row>
    <row r="13" ht="15.75" customHeight="1">
      <c r="A13" s="5"/>
      <c r="B13" s="5"/>
      <c r="C13" s="5"/>
      <c r="D13" s="5"/>
      <c r="E13" s="5"/>
      <c r="F13" s="5"/>
      <c r="G13" s="5"/>
      <c r="H13" s="5"/>
      <c r="I13" s="5"/>
      <c r="J13" s="5"/>
      <c r="K13" s="5"/>
      <c r="L13" s="5"/>
      <c r="M13" s="5"/>
      <c r="N13" s="5"/>
      <c r="O13" s="5"/>
      <c r="P13" s="5"/>
      <c r="Q13" s="5"/>
      <c r="R13" s="5"/>
      <c r="S13" s="5"/>
      <c r="T13" s="5"/>
      <c r="U13" s="5"/>
      <c r="V13" s="5"/>
      <c r="W13" s="5"/>
      <c r="X13" s="5"/>
      <c r="Y13" s="5"/>
    </row>
    <row r="14" ht="15.75" customHeight="1">
      <c r="A14" s="9" t="s">
        <v>10</v>
      </c>
      <c r="B14" s="10">
        <v>0.95</v>
      </c>
      <c r="C14" s="8" t="s">
        <v>11</v>
      </c>
      <c r="F14" s="5"/>
      <c r="G14" s="5"/>
      <c r="H14" s="5"/>
      <c r="I14" s="5"/>
      <c r="J14" s="5"/>
      <c r="K14" s="5"/>
      <c r="L14" s="5"/>
      <c r="M14" s="5"/>
      <c r="N14" s="5"/>
      <c r="O14" s="5"/>
      <c r="P14" s="5"/>
      <c r="Q14" s="5"/>
      <c r="R14" s="5"/>
      <c r="S14" s="5"/>
      <c r="T14" s="5"/>
      <c r="U14" s="5"/>
      <c r="V14" s="5"/>
      <c r="W14" s="5"/>
      <c r="X14" s="5"/>
      <c r="Y14" s="5"/>
    </row>
    <row r="15" ht="15.75" customHeight="1">
      <c r="A15" s="5"/>
      <c r="F15" s="5"/>
      <c r="G15" s="5"/>
      <c r="H15" s="5"/>
      <c r="I15" s="5"/>
      <c r="J15" s="5"/>
      <c r="K15" s="5"/>
      <c r="L15" s="5"/>
      <c r="M15" s="5"/>
      <c r="N15" s="5"/>
      <c r="O15" s="5"/>
      <c r="P15" s="5"/>
      <c r="Q15" s="5"/>
      <c r="R15" s="5"/>
      <c r="S15" s="5"/>
      <c r="T15" s="5"/>
      <c r="U15" s="5"/>
      <c r="V15" s="5"/>
      <c r="W15" s="5"/>
      <c r="X15" s="5"/>
      <c r="Y15" s="5"/>
    </row>
    <row r="16" ht="15.75" customHeight="1">
      <c r="A16" s="5"/>
      <c r="F16" s="5"/>
      <c r="G16" s="5"/>
      <c r="H16" s="5"/>
      <c r="I16" s="5"/>
      <c r="J16" s="5"/>
      <c r="K16" s="5"/>
      <c r="L16" s="5"/>
      <c r="M16" s="5"/>
      <c r="N16" s="5"/>
      <c r="O16" s="5"/>
      <c r="P16" s="5"/>
      <c r="Q16" s="5"/>
      <c r="R16" s="5"/>
      <c r="S16" s="5"/>
      <c r="T16" s="5"/>
      <c r="U16" s="5"/>
      <c r="V16" s="5"/>
      <c r="W16" s="5"/>
      <c r="X16" s="5"/>
      <c r="Y16" s="5"/>
    </row>
    <row r="17" ht="15.75" customHeight="1">
      <c r="A17" s="5"/>
      <c r="B17" s="5"/>
      <c r="F17" s="5"/>
      <c r="G17" s="5"/>
      <c r="H17" s="5"/>
      <c r="I17" s="5"/>
      <c r="J17" s="5"/>
      <c r="K17" s="5"/>
      <c r="L17" s="5"/>
      <c r="M17" s="5"/>
      <c r="N17" s="5"/>
      <c r="O17" s="5"/>
      <c r="P17" s="5"/>
      <c r="Q17" s="5"/>
      <c r="R17" s="5"/>
      <c r="S17" s="5"/>
      <c r="T17" s="5"/>
      <c r="U17" s="5"/>
      <c r="V17" s="5"/>
      <c r="W17" s="5"/>
      <c r="X17" s="5"/>
      <c r="Y17" s="5"/>
    </row>
    <row r="18" ht="15.75" customHeight="1">
      <c r="A18" s="5"/>
      <c r="B18" s="5"/>
      <c r="F18" s="5"/>
      <c r="G18" s="5"/>
      <c r="H18" s="5"/>
      <c r="I18" s="5"/>
      <c r="J18" s="5"/>
      <c r="K18" s="5"/>
      <c r="L18" s="5"/>
      <c r="M18" s="5"/>
      <c r="N18" s="5"/>
      <c r="O18" s="5"/>
      <c r="P18" s="5"/>
      <c r="Q18" s="5"/>
      <c r="R18" s="5"/>
      <c r="S18" s="5"/>
      <c r="T18" s="5"/>
      <c r="U18" s="5"/>
      <c r="V18" s="5"/>
      <c r="W18" s="5"/>
      <c r="X18" s="5"/>
      <c r="Y18" s="5"/>
    </row>
    <row r="19" ht="15.75" customHeight="1">
      <c r="A19" s="9" t="s">
        <v>12</v>
      </c>
      <c r="B19" s="5"/>
      <c r="C19" s="5"/>
      <c r="D19" s="5"/>
      <c r="E19" s="5"/>
      <c r="F19" s="5"/>
      <c r="G19" s="5"/>
      <c r="H19" s="5"/>
      <c r="I19" s="5"/>
      <c r="J19" s="5"/>
      <c r="K19" s="5"/>
      <c r="L19" s="5"/>
      <c r="M19" s="5"/>
      <c r="N19" s="5"/>
      <c r="O19" s="5"/>
      <c r="P19" s="5"/>
      <c r="Q19" s="5"/>
      <c r="R19" s="5"/>
      <c r="S19" s="5"/>
      <c r="T19" s="5"/>
      <c r="U19" s="5"/>
      <c r="V19" s="5"/>
      <c r="W19" s="5"/>
      <c r="X19" s="5"/>
      <c r="Y19" s="5"/>
    </row>
    <row r="20" ht="15.75" customHeight="1">
      <c r="A20" s="11" t="s">
        <v>13</v>
      </c>
      <c r="B20" s="12" t="s">
        <v>14</v>
      </c>
      <c r="F20" s="5"/>
      <c r="G20" s="5"/>
      <c r="H20" s="5"/>
      <c r="I20" s="5"/>
      <c r="J20" s="5"/>
      <c r="K20" s="5"/>
      <c r="L20" s="5"/>
      <c r="M20" s="5"/>
      <c r="N20" s="5"/>
      <c r="O20" s="5"/>
      <c r="P20" s="5"/>
      <c r="Q20" s="5"/>
      <c r="R20" s="5"/>
      <c r="S20" s="5"/>
      <c r="T20" s="5"/>
      <c r="U20" s="5"/>
      <c r="V20" s="5"/>
      <c r="W20" s="5"/>
      <c r="X20" s="5"/>
      <c r="Y20" s="5"/>
    </row>
    <row r="21" ht="15.75" customHeight="1">
      <c r="A21" s="13" t="s">
        <v>15</v>
      </c>
      <c r="B21" s="14" t="s">
        <v>16</v>
      </c>
      <c r="F21" s="5"/>
      <c r="G21" s="5"/>
      <c r="H21" s="5"/>
      <c r="I21" s="5"/>
      <c r="J21" s="5"/>
      <c r="K21" s="5"/>
      <c r="L21" s="5"/>
      <c r="M21" s="5"/>
      <c r="N21" s="5"/>
      <c r="O21" s="5"/>
      <c r="P21" s="5"/>
      <c r="Q21" s="5"/>
      <c r="R21" s="5"/>
      <c r="S21" s="5"/>
      <c r="T21" s="5"/>
      <c r="U21" s="5"/>
      <c r="V21" s="5"/>
      <c r="W21" s="5"/>
      <c r="X21" s="5"/>
      <c r="Y21" s="5"/>
    </row>
    <row r="22" ht="15.75" customHeight="1">
      <c r="A22" s="13" t="s">
        <v>17</v>
      </c>
      <c r="B22" s="14" t="s">
        <v>18</v>
      </c>
      <c r="F22" s="5"/>
      <c r="G22" s="5"/>
      <c r="H22" s="5"/>
      <c r="I22" s="5"/>
      <c r="J22" s="5"/>
      <c r="K22" s="5"/>
      <c r="L22" s="5"/>
      <c r="M22" s="5"/>
      <c r="N22" s="5"/>
      <c r="O22" s="5"/>
      <c r="P22" s="5"/>
      <c r="Q22" s="5"/>
      <c r="R22" s="5"/>
      <c r="S22" s="5"/>
      <c r="T22" s="5"/>
      <c r="U22" s="5"/>
      <c r="V22" s="5"/>
      <c r="W22" s="5"/>
      <c r="X22" s="5"/>
      <c r="Y22" s="5"/>
    </row>
    <row r="23" ht="15.75" customHeight="1">
      <c r="A23" s="13" t="s">
        <v>19</v>
      </c>
      <c r="B23" s="14" t="s">
        <v>20</v>
      </c>
      <c r="F23" s="5"/>
      <c r="G23" s="5"/>
      <c r="H23" s="5"/>
      <c r="I23" s="5"/>
      <c r="J23" s="5"/>
      <c r="K23" s="5"/>
      <c r="L23" s="5"/>
      <c r="M23" s="5"/>
      <c r="N23" s="5"/>
      <c r="O23" s="5"/>
      <c r="P23" s="5"/>
      <c r="Q23" s="5"/>
      <c r="R23" s="5"/>
      <c r="S23" s="5"/>
      <c r="T23" s="5"/>
      <c r="U23" s="5"/>
      <c r="V23" s="5"/>
      <c r="W23" s="5"/>
      <c r="X23" s="5"/>
      <c r="Y23" s="5"/>
    </row>
    <row r="24" ht="15.75" customHeight="1">
      <c r="A24" s="13" t="s">
        <v>21</v>
      </c>
      <c r="B24" s="14" t="s">
        <v>22</v>
      </c>
      <c r="F24" s="5"/>
      <c r="G24" s="5"/>
      <c r="H24" s="5"/>
      <c r="I24" s="5"/>
      <c r="J24" s="5"/>
      <c r="K24" s="5"/>
      <c r="L24" s="5"/>
      <c r="M24" s="5"/>
      <c r="N24" s="5"/>
      <c r="O24" s="5"/>
      <c r="P24" s="5"/>
      <c r="Q24" s="5"/>
      <c r="R24" s="5"/>
      <c r="S24" s="5"/>
      <c r="T24" s="5"/>
      <c r="U24" s="5"/>
      <c r="V24" s="5"/>
      <c r="W24" s="5"/>
      <c r="X24" s="5"/>
      <c r="Y24" s="5"/>
    </row>
    <row r="25" ht="15.75" customHeight="1">
      <c r="A25" s="13" t="s">
        <v>23</v>
      </c>
      <c r="B25" s="14" t="s">
        <v>24</v>
      </c>
      <c r="F25" s="5"/>
      <c r="G25" s="5"/>
      <c r="H25" s="5"/>
      <c r="I25" s="5"/>
      <c r="J25" s="5"/>
      <c r="K25" s="5"/>
      <c r="L25" s="5"/>
      <c r="M25" s="5"/>
      <c r="N25" s="5"/>
      <c r="O25" s="5"/>
      <c r="P25" s="5"/>
      <c r="Q25" s="5"/>
      <c r="R25" s="5"/>
      <c r="S25" s="5"/>
      <c r="T25" s="5"/>
      <c r="U25" s="5"/>
      <c r="V25" s="5"/>
      <c r="W25" s="5"/>
      <c r="X25" s="5"/>
      <c r="Y25" s="5"/>
    </row>
    <row r="26" ht="15.75" customHeight="1">
      <c r="A26" s="13" t="s">
        <v>25</v>
      </c>
      <c r="B26" s="15" t="s">
        <v>26</v>
      </c>
      <c r="F26" s="5"/>
      <c r="G26" s="5"/>
      <c r="H26" s="5"/>
      <c r="I26" s="5"/>
      <c r="J26" s="5"/>
      <c r="K26" s="5"/>
      <c r="L26" s="5"/>
      <c r="M26" s="5"/>
      <c r="N26" s="5"/>
      <c r="O26" s="5"/>
      <c r="P26" s="5"/>
      <c r="Q26" s="5"/>
      <c r="R26" s="5"/>
      <c r="S26" s="5"/>
      <c r="T26" s="5"/>
      <c r="U26" s="5"/>
      <c r="V26" s="5"/>
      <c r="W26" s="5"/>
      <c r="X26" s="5"/>
      <c r="Y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row>
    <row r="28" ht="15.75" customHeight="1"/>
    <row r="29" ht="15.75" customHeight="1"/>
    <row r="30" ht="25.5" customHeight="1">
      <c r="A30" s="16" t="s">
        <v>27</v>
      </c>
      <c r="B30" s="4"/>
      <c r="C30" s="4"/>
      <c r="D30" s="4"/>
      <c r="E30" s="4"/>
    </row>
    <row r="31" ht="15.75" customHeight="1">
      <c r="A31" s="17" t="s">
        <v>28</v>
      </c>
    </row>
    <row r="32" ht="30.0" customHeight="1">
      <c r="A32" s="18" t="s">
        <v>29</v>
      </c>
      <c r="B32" s="18" t="s">
        <v>30</v>
      </c>
      <c r="C32" s="18" t="s">
        <v>31</v>
      </c>
      <c r="D32" s="19" t="s">
        <v>32</v>
      </c>
      <c r="E32" s="20"/>
    </row>
    <row r="33" ht="15.75" customHeight="1">
      <c r="A33" s="21">
        <v>1.0</v>
      </c>
      <c r="B33" s="17" t="s">
        <v>33</v>
      </c>
      <c r="C33" s="17" t="s">
        <v>34</v>
      </c>
      <c r="D33" s="22">
        <v>844378.0</v>
      </c>
    </row>
    <row r="34" ht="15.75" customHeight="1">
      <c r="A34" s="21">
        <v>2.0</v>
      </c>
      <c r="B34" s="17" t="s">
        <v>35</v>
      </c>
      <c r="C34" s="17" t="s">
        <v>36</v>
      </c>
      <c r="D34" s="22">
        <v>952660.0</v>
      </c>
    </row>
    <row r="35" ht="15.75" customHeight="1">
      <c r="A35" s="21">
        <v>11.0</v>
      </c>
      <c r="B35" s="17" t="s">
        <v>37</v>
      </c>
      <c r="C35" s="17" t="s">
        <v>38</v>
      </c>
      <c r="D35" s="22">
        <v>844378.0</v>
      </c>
    </row>
    <row r="36" ht="15.75" customHeight="1">
      <c r="A36" s="21">
        <v>26.0</v>
      </c>
      <c r="B36" s="17" t="s">
        <v>39</v>
      </c>
      <c r="C36" s="17" t="s">
        <v>40</v>
      </c>
      <c r="D36" s="22">
        <v>844378.0</v>
      </c>
    </row>
    <row r="37" ht="15.75" customHeight="1">
      <c r="A37" s="21">
        <v>22.0</v>
      </c>
      <c r="B37" s="17" t="s">
        <v>41</v>
      </c>
      <c r="C37" s="17" t="s">
        <v>42</v>
      </c>
      <c r="D37" s="22">
        <v>457427.0</v>
      </c>
    </row>
    <row r="38" ht="15.75" customHeight="1">
      <c r="A38" s="21">
        <v>42.0</v>
      </c>
      <c r="B38" s="17" t="s">
        <v>43</v>
      </c>
      <c r="C38" s="17" t="s">
        <v>44</v>
      </c>
      <c r="D38" s="22">
        <v>142595.0</v>
      </c>
    </row>
    <row r="39" ht="15.75" customHeight="1">
      <c r="A39" s="21">
        <v>39.0</v>
      </c>
      <c r="B39" s="17" t="s">
        <v>45</v>
      </c>
      <c r="C39" s="17" t="s">
        <v>46</v>
      </c>
      <c r="D39" s="22">
        <v>131564.0</v>
      </c>
    </row>
    <row r="40" ht="15.75" customHeight="1">
      <c r="A40" s="21">
        <v>13.0</v>
      </c>
      <c r="B40" s="17" t="s">
        <v>47</v>
      </c>
      <c r="C40" s="17" t="s">
        <v>48</v>
      </c>
      <c r="D40" s="22">
        <v>829747.0</v>
      </c>
    </row>
    <row r="41" ht="15.75" customHeight="1">
      <c r="A41" s="21">
        <v>46.0</v>
      </c>
      <c r="B41" s="17" t="s">
        <v>49</v>
      </c>
      <c r="C41" s="17" t="s">
        <v>50</v>
      </c>
      <c r="D41" s="22">
        <v>7632.0</v>
      </c>
    </row>
    <row r="42" ht="15.75" customHeight="1">
      <c r="A42" s="21">
        <v>16.0</v>
      </c>
      <c r="B42" s="17" t="s">
        <v>51</v>
      </c>
      <c r="C42" s="17" t="s">
        <v>52</v>
      </c>
      <c r="D42" s="22">
        <v>626365.0</v>
      </c>
    </row>
    <row r="43" ht="15.75" customHeight="1">
      <c r="A43" s="21">
        <v>33.0</v>
      </c>
      <c r="B43" s="17" t="s">
        <v>53</v>
      </c>
      <c r="C43" s="17" t="s">
        <v>54</v>
      </c>
      <c r="D43" s="22">
        <v>217219.0</v>
      </c>
    </row>
    <row r="44" ht="15.75" customHeight="1">
      <c r="A44" s="21">
        <v>32.0</v>
      </c>
      <c r="B44" s="17" t="s">
        <v>55</v>
      </c>
      <c r="C44" s="17" t="s">
        <v>56</v>
      </c>
      <c r="D44" s="22">
        <v>178885.0</v>
      </c>
    </row>
    <row r="45" ht="15.75" customHeight="1">
      <c r="A45" s="21">
        <v>48.0</v>
      </c>
      <c r="B45" s="17" t="s">
        <v>57</v>
      </c>
      <c r="C45" s="17" t="s">
        <v>58</v>
      </c>
      <c r="D45" s="22">
        <v>92609.0</v>
      </c>
    </row>
    <row r="46" ht="15.75" customHeight="1">
      <c r="A46" s="21">
        <v>49.0</v>
      </c>
      <c r="B46" s="17" t="s">
        <v>59</v>
      </c>
      <c r="C46" s="17" t="s">
        <v>60</v>
      </c>
      <c r="D46" s="22">
        <v>36976.0</v>
      </c>
    </row>
    <row r="47" ht="15.75" customHeight="1">
      <c r="A47" s="21">
        <v>25.0</v>
      </c>
      <c r="B47" s="17" t="s">
        <v>61</v>
      </c>
      <c r="C47" s="17" t="s">
        <v>62</v>
      </c>
      <c r="D47" s="22">
        <v>308135.0</v>
      </c>
    </row>
    <row r="48" ht="15.75" customHeight="1">
      <c r="A48" s="21">
        <v>17.0</v>
      </c>
      <c r="B48" s="17" t="s">
        <v>63</v>
      </c>
      <c r="C48" s="17" t="s">
        <v>64</v>
      </c>
      <c r="D48" s="22">
        <v>840565.0</v>
      </c>
    </row>
    <row r="49" ht="15.75" customHeight="1">
      <c r="A49" s="21">
        <v>36.0</v>
      </c>
      <c r="B49" s="17" t="s">
        <v>65</v>
      </c>
      <c r="C49" s="17" t="s">
        <v>66</v>
      </c>
      <c r="D49" s="22">
        <v>600405.0</v>
      </c>
    </row>
    <row r="50" ht="15.75" customHeight="1">
      <c r="A50" s="21">
        <v>50.0</v>
      </c>
      <c r="B50" s="17" t="s">
        <v>67</v>
      </c>
      <c r="C50" s="17" t="s">
        <v>68</v>
      </c>
      <c r="D50" s="22">
        <v>18788.0</v>
      </c>
    </row>
    <row r="51" ht="15.75" customHeight="1">
      <c r="A51" s="21">
        <v>37.0</v>
      </c>
      <c r="B51" s="17" t="s">
        <v>69</v>
      </c>
      <c r="C51" s="17" t="s">
        <v>70</v>
      </c>
      <c r="D51" s="22">
        <v>147704.0</v>
      </c>
    </row>
    <row r="52" ht="15.75" customHeight="1">
      <c r="A52" s="21">
        <v>10.0</v>
      </c>
      <c r="B52" s="17" t="s">
        <v>71</v>
      </c>
      <c r="C52" s="17" t="s">
        <v>72</v>
      </c>
      <c r="D52" s="22">
        <v>159879.0</v>
      </c>
    </row>
    <row r="53" ht="15.75" customHeight="1">
      <c r="A53" s="21">
        <v>35.0</v>
      </c>
      <c r="B53" s="17" t="s">
        <v>73</v>
      </c>
      <c r="C53" s="17" t="s">
        <v>74</v>
      </c>
      <c r="D53" s="22">
        <v>128515.0</v>
      </c>
    </row>
    <row r="54" ht="15.75" customHeight="1">
      <c r="A54" s="21">
        <v>47.0</v>
      </c>
      <c r="B54" s="17" t="s">
        <v>75</v>
      </c>
      <c r="C54" s="17" t="s">
        <v>76</v>
      </c>
      <c r="D54" s="22">
        <v>65819.0</v>
      </c>
    </row>
    <row r="55" ht="15.75" customHeight="1">
      <c r="A55" s="21">
        <v>41.0</v>
      </c>
      <c r="B55" s="17" t="s">
        <v>77</v>
      </c>
      <c r="C55" s="17" t="s">
        <v>78</v>
      </c>
      <c r="D55" s="22">
        <v>140143.0</v>
      </c>
    </row>
    <row r="56" ht="15.75" customHeight="1">
      <c r="A56" s="21">
        <v>44.0</v>
      </c>
      <c r="B56" s="17" t="s">
        <v>79</v>
      </c>
      <c r="C56" s="17" t="s">
        <v>80</v>
      </c>
      <c r="D56" s="22">
        <v>137278.0</v>
      </c>
    </row>
    <row r="57" ht="15.75" customHeight="1">
      <c r="A57" s="21">
        <v>40.0</v>
      </c>
      <c r="B57" s="17" t="s">
        <v>81</v>
      </c>
      <c r="C57" s="17" t="s">
        <v>82</v>
      </c>
      <c r="D57" s="22">
        <v>120668.0</v>
      </c>
    </row>
    <row r="58" ht="15.75" customHeight="1">
      <c r="A58" s="21">
        <v>12.0</v>
      </c>
      <c r="B58" s="17" t="s">
        <v>83</v>
      </c>
      <c r="C58" s="17" t="s">
        <v>84</v>
      </c>
      <c r="D58" s="22">
        <v>844378.0</v>
      </c>
    </row>
    <row r="59" ht="15.75" customHeight="1">
      <c r="A59" s="21">
        <v>38.0</v>
      </c>
      <c r="B59" s="17" t="s">
        <v>85</v>
      </c>
      <c r="C59" s="17" t="s">
        <v>86</v>
      </c>
      <c r="D59" s="22">
        <v>71632.0</v>
      </c>
    </row>
    <row r="60" ht="15.75" customHeight="1">
      <c r="A60" s="21">
        <v>18.0</v>
      </c>
      <c r="B60" s="17" t="s">
        <v>87</v>
      </c>
      <c r="C60" s="17" t="s">
        <v>88</v>
      </c>
      <c r="D60" s="22">
        <v>477413.0</v>
      </c>
    </row>
    <row r="61" ht="15.75" customHeight="1">
      <c r="A61" s="21">
        <v>4.0</v>
      </c>
      <c r="B61" s="17" t="s">
        <v>89</v>
      </c>
      <c r="C61" s="17" t="s">
        <v>90</v>
      </c>
      <c r="D61" s="22">
        <v>292336.0</v>
      </c>
    </row>
    <row r="62" ht="15.75" customHeight="1">
      <c r="A62" s="21">
        <v>24.0</v>
      </c>
      <c r="B62" s="17" t="s">
        <v>91</v>
      </c>
      <c r="C62" s="17" t="s">
        <v>92</v>
      </c>
      <c r="D62" s="22">
        <v>348272.0</v>
      </c>
    </row>
    <row r="63" ht="15.75" customHeight="1">
      <c r="A63" s="21">
        <v>3.0</v>
      </c>
      <c r="B63" s="17" t="s">
        <v>93</v>
      </c>
      <c r="C63" s="17" t="s">
        <v>94</v>
      </c>
      <c r="D63" s="22">
        <v>847538.0</v>
      </c>
    </row>
    <row r="64" ht="15.75" customHeight="1">
      <c r="A64" s="21">
        <v>21.0</v>
      </c>
      <c r="B64" s="17" t="s">
        <v>95</v>
      </c>
      <c r="C64" s="17" t="s">
        <v>96</v>
      </c>
      <c r="D64" s="22">
        <v>457427.0</v>
      </c>
    </row>
    <row r="65" ht="15.75" customHeight="1">
      <c r="A65" s="21">
        <v>5.0</v>
      </c>
      <c r="B65" s="17" t="s">
        <v>97</v>
      </c>
      <c r="C65" s="17" t="s">
        <v>98</v>
      </c>
      <c r="D65" s="22">
        <v>844378.0</v>
      </c>
    </row>
    <row r="66" ht="15.75" customHeight="1">
      <c r="A66" s="21">
        <v>20.0</v>
      </c>
      <c r="B66" s="17" t="s">
        <v>99</v>
      </c>
      <c r="C66" s="17" t="s">
        <v>100</v>
      </c>
      <c r="D66" s="22">
        <v>457427.0</v>
      </c>
    </row>
    <row r="67" ht="15.75" customHeight="1">
      <c r="A67" s="21">
        <v>15.0</v>
      </c>
      <c r="B67" s="17" t="s">
        <v>101</v>
      </c>
      <c r="C67" s="17" t="s">
        <v>102</v>
      </c>
      <c r="D67" s="22">
        <v>607466.0</v>
      </c>
    </row>
    <row r="68" ht="15.75" customHeight="1">
      <c r="A68" s="21">
        <v>28.0</v>
      </c>
      <c r="B68" s="17" t="s">
        <v>103</v>
      </c>
      <c r="C68" s="17" t="s">
        <v>104</v>
      </c>
      <c r="D68" s="22">
        <v>541283.0</v>
      </c>
    </row>
    <row r="69" ht="15.75" customHeight="1">
      <c r="A69" s="21">
        <v>45.0</v>
      </c>
      <c r="B69" s="17" t="s">
        <v>105</v>
      </c>
      <c r="C69" s="17" t="s">
        <v>106</v>
      </c>
      <c r="D69" s="22">
        <v>206592.0</v>
      </c>
    </row>
    <row r="70" ht="15.75" customHeight="1">
      <c r="A70" s="21">
        <v>43.0</v>
      </c>
      <c r="B70" s="17" t="s">
        <v>107</v>
      </c>
      <c r="C70" s="17" t="s">
        <v>108</v>
      </c>
      <c r="D70" s="22">
        <v>309028.0</v>
      </c>
    </row>
    <row r="71" ht="15.75" customHeight="1">
      <c r="A71" s="21">
        <v>19.0</v>
      </c>
      <c r="B71" s="17" t="s">
        <v>109</v>
      </c>
      <c r="C71" s="17" t="s">
        <v>110</v>
      </c>
      <c r="D71" s="22">
        <v>457427.0</v>
      </c>
    </row>
    <row r="72" ht="15.75" customHeight="1">
      <c r="A72" s="21">
        <v>34.0</v>
      </c>
      <c r="B72" s="17" t="s">
        <v>111</v>
      </c>
      <c r="C72" s="17" t="s">
        <v>112</v>
      </c>
      <c r="D72" s="22">
        <v>190780.0</v>
      </c>
    </row>
    <row r="73" ht="15.75" customHeight="1">
      <c r="A73" s="21">
        <v>14.0</v>
      </c>
      <c r="B73" s="17" t="s">
        <v>113</v>
      </c>
      <c r="C73" s="17" t="s">
        <v>114</v>
      </c>
      <c r="D73" s="22">
        <v>31069.0</v>
      </c>
    </row>
    <row r="74" ht="15.75" customHeight="1">
      <c r="A74" s="21">
        <v>6.0</v>
      </c>
      <c r="B74" s="17" t="s">
        <v>115</v>
      </c>
      <c r="C74" s="17" t="s">
        <v>116</v>
      </c>
      <c r="D74" s="22">
        <v>195917.0</v>
      </c>
    </row>
    <row r="75" ht="15.75" customHeight="1">
      <c r="A75" s="21">
        <v>7.0</v>
      </c>
      <c r="B75" s="17" t="s">
        <v>117</v>
      </c>
      <c r="C75" s="17" t="s">
        <v>118</v>
      </c>
      <c r="D75" s="22">
        <v>180346.0</v>
      </c>
    </row>
    <row r="76" ht="15.75" customHeight="1">
      <c r="A76" s="21">
        <v>30.0</v>
      </c>
      <c r="B76" s="17" t="s">
        <v>119</v>
      </c>
      <c r="C76" s="17" t="s">
        <v>120</v>
      </c>
      <c r="D76" s="22">
        <v>246471.0</v>
      </c>
    </row>
    <row r="77" ht="15.75" customHeight="1">
      <c r="A77" s="21">
        <v>29.0</v>
      </c>
      <c r="B77" s="17" t="s">
        <v>121</v>
      </c>
      <c r="C77" s="17" t="s">
        <v>122</v>
      </c>
      <c r="D77" s="22">
        <v>187410.0</v>
      </c>
    </row>
    <row r="78" ht="15.75" customHeight="1">
      <c r="A78" s="21">
        <v>8.0</v>
      </c>
      <c r="B78" s="17" t="s">
        <v>123</v>
      </c>
      <c r="C78" s="17" t="s">
        <v>124</v>
      </c>
      <c r="D78" s="22">
        <v>201862.0</v>
      </c>
    </row>
    <row r="79" ht="15.75" customHeight="1">
      <c r="A79" s="21">
        <v>9.0</v>
      </c>
      <c r="B79" s="17" t="s">
        <v>125</v>
      </c>
      <c r="C79" s="17" t="s">
        <v>126</v>
      </c>
      <c r="D79" s="22">
        <v>196790.0</v>
      </c>
    </row>
    <row r="80" ht="15.75" customHeight="1">
      <c r="A80" s="21">
        <v>31.0</v>
      </c>
      <c r="B80" s="17" t="s">
        <v>127</v>
      </c>
      <c r="C80" s="17" t="s">
        <v>128</v>
      </c>
      <c r="D80" s="22">
        <v>219631.0</v>
      </c>
    </row>
    <row r="81" ht="15.75" customHeight="1">
      <c r="A81" s="21">
        <v>23.0</v>
      </c>
      <c r="B81" s="17" t="s">
        <v>129</v>
      </c>
      <c r="C81" s="17" t="s">
        <v>130</v>
      </c>
      <c r="D81" s="22">
        <v>242676.0</v>
      </c>
    </row>
    <row r="82" ht="15.75" customHeight="1">
      <c r="A82" s="21">
        <v>27.0</v>
      </c>
      <c r="B82" s="17" t="s">
        <v>131</v>
      </c>
      <c r="C82" s="17" t="s">
        <v>132</v>
      </c>
      <c r="D82" s="22">
        <v>273420.0</v>
      </c>
    </row>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2:$D$82">
    <sortState ref="A32:D82">
      <sortCondition ref="B32:B82"/>
    </sortState>
  </autoFilter>
  <mergeCells count="17">
    <mergeCell ref="C1:E3"/>
    <mergeCell ref="A5:E5"/>
    <mergeCell ref="A6:E6"/>
    <mergeCell ref="B8:E8"/>
    <mergeCell ref="B10:E10"/>
    <mergeCell ref="B12:E12"/>
    <mergeCell ref="B14:B16"/>
    <mergeCell ref="B26:E26"/>
    <mergeCell ref="A30:E30"/>
    <mergeCell ref="A31:E31"/>
    <mergeCell ref="C14:E18"/>
    <mergeCell ref="B20:E20"/>
    <mergeCell ref="B21:E21"/>
    <mergeCell ref="B22:E22"/>
    <mergeCell ref="B23:E23"/>
    <mergeCell ref="B24:E24"/>
    <mergeCell ref="B25:E25"/>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2.0"/>
    <col customWidth="1" min="2" max="7" width="15.0"/>
  </cols>
  <sheetData>
    <row r="1" ht="25.5" customHeight="1">
      <c r="A1" s="23" t="s">
        <v>159</v>
      </c>
      <c r="B1" s="4"/>
      <c r="C1" s="4"/>
      <c r="D1" s="4"/>
      <c r="E1" s="4"/>
      <c r="F1" s="4"/>
      <c r="G1" s="4"/>
    </row>
    <row r="3" ht="21.75" customHeight="1">
      <c r="A3" s="38" t="s">
        <v>160</v>
      </c>
      <c r="C3" s="41">
        <f>IF(SUMIFS(Data!$S$2:$S$51,Data!$K$2:$K$51,"&lt;&gt;not applicable")+SUMIFS(Data!$T$2:$T$51,Data!$K$2:$K$51,"&lt;&gt;not applicable")=0,"",SUMIFS(Data!$S$2:$S$51,Data!$K$2:$K$51,"&lt;&gt;not applicable")/(SUMIFS(Data!$S$2:$S$51,Data!$K$2:$K$51,"&lt;&gt;not applicable")+SUMIFS(Data!$T$2:$T$51,Data!$K$2:$K$51,"&lt;&gt;not applicable")))</f>
        <v>0.3629718638</v>
      </c>
    </row>
    <row r="4" ht="21.75" customHeight="1">
      <c r="A4" s="42" t="s">
        <v>162</v>
      </c>
    </row>
    <row r="6">
      <c r="A6" s="17" t="s">
        <v>163</v>
      </c>
    </row>
    <row r="8" ht="21.75" customHeight="1">
      <c r="A8" s="26" t="s">
        <v>164</v>
      </c>
      <c r="B8" s="4"/>
      <c r="C8" s="4"/>
      <c r="D8" s="4"/>
      <c r="E8" s="4"/>
      <c r="F8" s="4"/>
      <c r="G8" s="4"/>
    </row>
    <row r="10" ht="30.0" customHeight="1">
      <c r="A10" s="18"/>
      <c r="B10" s="20" t="s">
        <v>145</v>
      </c>
      <c r="C10" s="20" t="s">
        <v>154</v>
      </c>
    </row>
    <row r="11">
      <c r="A11" s="43" t="s">
        <v>166</v>
      </c>
      <c r="B11" s="28">
        <f>(SUMIFS(Data!$S$2:$S$51,Data!$K$2:$K$51,"animal_core")+SUMIFS(Data!$T$2:$T$51,Data!$K$2:$K$51,"animal_core"))/1000</f>
        <v>1194.421245</v>
      </c>
      <c r="C11" s="32">
        <f>IF((SUMIFS(Data!$S$2:$S$51,Data!$K$2:$K$51,"&lt;&gt;not applicable")+SUMIFS(Data!$T$2:$T$51,Data!$K$2:$K$51,"&lt;&gt;not applicable"))=0,"",B11*1000/(SUMIFS(Data!$S$2:$S$51,Data!$K$2:$K$51,"&lt;&gt;not applicable")+SUMIFS(Data!$T$2:$T$51,Data!$K$2:$K$51,"&lt;&gt;not applicable")))</f>
        <v>0.6033402126</v>
      </c>
    </row>
    <row r="12">
      <c r="A12" s="31" t="s">
        <v>168</v>
      </c>
      <c r="B12" s="28">
        <f>(SUMIFS(Data!$S$2:$S$51,Data!$K$2:$K$51,"animal-plant-based composite")+SUMIFS(Data!$T$2:$T$51,Data!$K$2:$K$51,"animal-plant-based composite"))/1000</f>
        <v>176.7794307</v>
      </c>
      <c r="C12" s="32">
        <f>IF((SUMIFS(Data!$S$2:$S$51,Data!$K$2:$K$51,"&lt;&gt;not applicable")+SUMIFS(Data!$T$2:$T$51,Data!$K$2:$K$51,"&lt;&gt;not applicable"))=0,"",B12*1000/(SUMIFS(Data!$S$2:$S$51,Data!$K$2:$K$51,"&lt;&gt;not applicable")+SUMIFS(Data!$T$2:$T$51,Data!$K$2:$K$51,"&lt;&gt;not applicable")))</f>
        <v>0.08929692081</v>
      </c>
    </row>
    <row r="13">
      <c r="A13" s="31" t="s">
        <v>170</v>
      </c>
      <c r="B13" s="28">
        <f>(SUMIFS(Data!$S$2:$S$51,Data!$K$2:$K$51,"plant_non_core")+SUMIFS(Data!$T$2:$T$51,Data!$K$2:$K$51,"plant_non_core"))/1000</f>
        <v>526.5678126</v>
      </c>
      <c r="C13" s="32">
        <f>IF((SUMIFS(Data!$S$2:$S$51,Data!$K$2:$K$51,"&lt;&gt;not applicable")+SUMIFS(Data!$T$2:$T$51,Data!$K$2:$K$51,"&lt;&gt;not applicable"))=0,"",B13*1000/(SUMIFS(Data!$S$2:$S$51,Data!$K$2:$K$51,"&lt;&gt;not applicable")+SUMIFS(Data!$T$2:$T$51,Data!$K$2:$K$51,"&lt;&gt;not applicable")))</f>
        <v>0.2659861732</v>
      </c>
    </row>
    <row r="14">
      <c r="A14" s="31" t="s">
        <v>172</v>
      </c>
      <c r="B14" s="28">
        <f>(SUMIFS(Data!$S$2:$S$51,Data!$K$2:$K$51,"plant_core")+SUMIFS(Data!$T$2:$T$51,Data!$K$2:$K$51,"plant_core"))/1000</f>
        <v>81.91266</v>
      </c>
      <c r="C14" s="32">
        <f>IF((SUMIFS(Data!$S$2:$S$51,Data!$K$2:$K$51,"&lt;&gt;not applicable")+SUMIFS(Data!$T$2:$T$51,Data!$K$2:$K$51,"&lt;&gt;not applicable"))=0,"",B14*1000/(SUMIFS(Data!$S$2:$S$51,Data!$K$2:$K$51,"&lt;&gt;not applicable")+SUMIFS(Data!$T$2:$T$51,Data!$K$2:$K$51,"&lt;&gt;not applicable")))</f>
        <v>0.04137669346</v>
      </c>
    </row>
    <row r="15">
      <c r="A15" s="43" t="s">
        <v>174</v>
      </c>
      <c r="B15" s="33">
        <f>(SUMIFS(Data!$S$2:$S$51,Data!$K$2:$K$51,"&lt;&gt;not applicable")+SUMIFS(Data!$T$2:$T$51,Data!$K$2:$K$51,"&lt;&gt;not applicable"))/1000</f>
        <v>1979.681148</v>
      </c>
      <c r="C15" s="34">
        <f>IF((SUMIFS(Data!$S$2:$S$51,Data!$K$2:$K$51,"&lt;&gt;not applicable")+SUMIFS(Data!$T$2:$T$51,Data!$K$2:$K$51,"&lt;&gt;not applicable"))=0,"",B15*1000/(SUMIFS(Data!$S$2:$S$51,Data!$K$2:$K$51,"&lt;&gt;not applicable")+SUMIFS(Data!$T$2:$T$51,Data!$K$2:$K$51,"&lt;&gt;not applicable")))</f>
        <v>1</v>
      </c>
    </row>
    <row r="18" ht="21.75" customHeight="1">
      <c r="A18" s="26" t="s">
        <v>176</v>
      </c>
      <c r="B18" s="4"/>
      <c r="C18" s="4"/>
      <c r="D18" s="4"/>
      <c r="E18" s="4"/>
      <c r="F18" s="4"/>
      <c r="G18" s="4"/>
    </row>
    <row r="20">
      <c r="A20" s="47" t="s">
        <v>177</v>
      </c>
    </row>
    <row r="21" ht="15.75" customHeight="1"/>
    <row r="22" ht="30.0" customHeight="1">
      <c r="A22" s="18"/>
      <c r="B22" s="20" t="s">
        <v>145</v>
      </c>
      <c r="C22" s="20" t="s">
        <v>154</v>
      </c>
    </row>
    <row r="23" ht="15.75" customHeight="1">
      <c r="A23" s="48" t="s">
        <v>166</v>
      </c>
      <c r="B23" s="49"/>
      <c r="C23" s="49"/>
    </row>
    <row r="24" ht="15.75" customHeight="1">
      <c r="A24" s="17" t="s">
        <v>179</v>
      </c>
      <c r="B24" s="28">
        <f>(SUMIFS(Data!$S$2:$S$51,Data!$K$2:$K$51,"animal_core",Data!$G$2:$G$51,"red_meat")+SUMIFS(Data!$T$2:$T$51,Data!$K$2:$K$51,"animal_core",Data!$G$2:$G$51,"red_meat"))/1000</f>
        <v>26.3128</v>
      </c>
      <c r="C24" s="32">
        <f>IF((SUMIFS(Data!$S$2:$S$51,Data!$K$2:$K$51,"&lt;&gt;not applicable")+SUMIFS(Data!$T$2:$T$51,Data!$K$2:$K$51,"&lt;&gt;not applicable"))=0,"",B24*1000/(SUMIFS(Data!$S$2:$S$51,Data!$K$2:$K$51,"&lt;&gt;not applicable")+SUMIFS(Data!$T$2:$T$51,Data!$K$2:$K$51,"&lt;&gt;not applicable")))</f>
        <v>0.01329143333</v>
      </c>
    </row>
    <row r="25" ht="15.75" customHeight="1">
      <c r="A25" s="17" t="s">
        <v>180</v>
      </c>
      <c r="B25" s="28">
        <f>(SUMIFS(Data!$S$2:$S$51,Data!$K$2:$K$51,"animal_core",Data!$G$2:$G$51,"poultry")+SUMIFS(Data!$T$2:$T$51,Data!$K$2:$K$51,"animal_core",Data!$G$2:$G$51,"poultry"))/1000</f>
        <v>219.850272</v>
      </c>
      <c r="C25" s="32">
        <f>IF((SUMIFS(Data!$S$2:$S$51,Data!$K$2:$K$51,"&lt;&gt;not applicable")+SUMIFS(Data!$T$2:$T$51,Data!$K$2:$K$51,"&lt;&gt;not applicable"))=0,"",B25*1000/(SUMIFS(Data!$S$2:$S$51,Data!$K$2:$K$51,"&lt;&gt;not applicable")+SUMIFS(Data!$T$2:$T$51,Data!$K$2:$K$51,"&lt;&gt;not applicable")))</f>
        <v>0.1110533745</v>
      </c>
    </row>
    <row r="26" ht="15.75" customHeight="1">
      <c r="A26" s="17" t="s">
        <v>182</v>
      </c>
      <c r="B26" s="28">
        <f>(SUMIFS(Data!$S$2:$S$51,Data!$K$2:$K$51,"animal_core",Data!$G$2:$G$51,"seafood")+SUMIFS(Data!$T$2:$T$51,Data!$K$2:$K$51,"animal_core",Data!$G$2:$G$51,"seafood"))/1000</f>
        <v>174.06894</v>
      </c>
      <c r="C26" s="32">
        <f>IF((SUMIFS(Data!$S$2:$S$51,Data!$K$2:$K$51,"&lt;&gt;not applicable")+SUMIFS(Data!$T$2:$T$51,Data!$K$2:$K$51,"&lt;&gt;not applicable"))=0,"",B26*1000/(SUMIFS(Data!$S$2:$S$51,Data!$K$2:$K$51,"&lt;&gt;not applicable")+SUMIFS(Data!$T$2:$T$51,Data!$K$2:$K$51,"&lt;&gt;not applicable")))</f>
        <v>0.08792776563</v>
      </c>
    </row>
    <row r="27" ht="15.75" customHeight="1">
      <c r="A27" s="17" t="s">
        <v>184</v>
      </c>
      <c r="B27" s="28">
        <f>(SUMIFS(Data!$S$2:$S$51,Data!$K$2:$K$51,"animal_core",Data!$G$2:$G$51,"eggs")+SUMIFS(Data!$T$2:$T$51,Data!$K$2:$K$51,"animal_core",Data!$G$2:$G$51,"eggs"))/1000</f>
        <v>209.4158442</v>
      </c>
      <c r="C27" s="32">
        <f>IF((SUMIFS(Data!$S$2:$S$51,Data!$K$2:$K$51,"&lt;&gt;not applicable")+SUMIFS(Data!$T$2:$T$51,Data!$K$2:$K$51,"&lt;&gt;not applicable"))=0,"",B27*1000/(SUMIFS(Data!$S$2:$S$51,Data!$K$2:$K$51,"&lt;&gt;not applicable")+SUMIFS(Data!$T$2:$T$51,Data!$K$2:$K$51,"&lt;&gt;not applicable")))</f>
        <v>0.1057826127</v>
      </c>
    </row>
    <row r="28" ht="15.75" customHeight="1">
      <c r="A28" s="17" t="s">
        <v>186</v>
      </c>
      <c r="B28" s="28">
        <f>(SUMIFS(Data!$S$2:$S$51,Data!$K$2:$K$51,"animal_core",Data!$G$2:$G$51,"other_animal")+SUMIFS(Data!$T$2:$T$51,Data!$K$2:$K$51,"animal_core",Data!$G$2:$G$51,"other_animal"))/1000</f>
        <v>1.50304</v>
      </c>
      <c r="C28" s="32">
        <f>IF((SUMIFS(Data!$S$2:$S$51,Data!$K$2:$K$51,"&lt;&gt;not applicable")+SUMIFS(Data!$T$2:$T$51,Data!$K$2:$K$51,"&lt;&gt;not applicable"))=0,"",B28*1000/(SUMIFS(Data!$S$2:$S$51,Data!$K$2:$K$51,"&lt;&gt;not applicable")+SUMIFS(Data!$T$2:$T$51,Data!$K$2:$K$51,"&lt;&gt;not applicable")))</f>
        <v>0.0007592333753</v>
      </c>
      <c r="E28" s="50"/>
    </row>
    <row r="29" ht="15.75" customHeight="1">
      <c r="A29" s="17" t="s">
        <v>192</v>
      </c>
      <c r="B29" s="28">
        <f>(SUMIFS(Data!$S$2:$S$51,Data!$K$2:$K$51,"animal_core",Data!$G$2:$G$51,"dairy_animal",Data!$AC$2:$AC$51,10)+SUMIFS(Data!$T$2:$T$51,Data!$K$2:$K$51,"animal_core",Data!$G$2:$G$51,"dairy_animal",Data!$AC$2:$AC$51,10))/1000</f>
        <v>152.866926</v>
      </c>
      <c r="C29" s="32">
        <f>IF((SUMIFS(Data!$S$2:$S$51,Data!$K$2:$K$51,"&lt;&gt;not applicable")+SUMIFS(Data!$T$2:$T$51,Data!$K$2:$K$51,"&lt;&gt;not applicable"))=0,"",B29*1000/(SUMIFS(Data!$S$2:$S$51,Data!$K$2:$K$51,"&lt;&gt;not applicable")+SUMIFS(Data!$T$2:$T$51,Data!$K$2:$K$51,"&lt;&gt;not applicable")))</f>
        <v>0.07721795308</v>
      </c>
      <c r="E29" s="50"/>
    </row>
    <row r="30" ht="15.75" customHeight="1">
      <c r="A30" s="17" t="s">
        <v>194</v>
      </c>
      <c r="B30" s="28">
        <f>(SUMIFS(Data!$S$2:$S$51,Data!$K$2:$K$51,"animal_core",Data!$G$2:$G$51,"dairy_animal",Data!$AC$2:$AC$51,1)+SUMIFS(Data!$T$2:$T$51,Data!$K$2:$K$51,"animal_core",Data!$G$2:$G$51,"dairy_animal",Data!$AC$2:$AC$51,1))/1000</f>
        <v>385.98017</v>
      </c>
      <c r="C30" s="32">
        <f>IF((SUMIFS(Data!$S$2:$S$51,Data!$K$2:$K$51,"&lt;&gt;not applicable")+SUMIFS(Data!$T$2:$T$51,Data!$K$2:$K$51,"&lt;&gt;not applicable"))=0,"",B30*1000/(SUMIFS(Data!$S$2:$S$51,Data!$K$2:$K$51,"&lt;&gt;not applicable")+SUMIFS(Data!$T$2:$T$51,Data!$K$2:$K$51,"&lt;&gt;not applicable")))</f>
        <v>0.1949708772</v>
      </c>
      <c r="E30" s="50"/>
    </row>
    <row r="31" ht="15.75" customHeight="1">
      <c r="A31" s="51" t="s">
        <v>198</v>
      </c>
      <c r="B31" s="28">
        <f>(SUMIFS(Data!$S$2:$S$51,Data!$K$2:$K$51,"animal_core")+SUMIFS(Data!$T$2:$T$51,Data!$K$2:$K$51,"animal_core"))/1000-SUM(B24:B30)</f>
        <v>24.4232525</v>
      </c>
      <c r="C31" s="32">
        <f>IF((SUMIFS(Data!$S$2:$S$51,Data!$K$2:$K$51,"&lt;&gt;not applicable")+SUMIFS(Data!$T$2:$T$51,Data!$K$2:$K$51,"&lt;&gt;not applicable"))=0,"",B31*1000/(SUMIFS(Data!$S$2:$S$51,Data!$K$2:$K$51,"&lt;&gt;not applicable")+SUMIFS(Data!$T$2:$T$51,Data!$K$2:$K$51,"&lt;&gt;not applicable")))</f>
        <v>0.01233696271</v>
      </c>
      <c r="E31" s="50"/>
    </row>
    <row r="32" ht="15.75" customHeight="1">
      <c r="A32" s="52" t="s">
        <v>172</v>
      </c>
      <c r="B32" s="53"/>
      <c r="C32" s="53"/>
      <c r="E32" s="50"/>
    </row>
    <row r="33" ht="15.75" customHeight="1">
      <c r="A33" s="54" t="s">
        <v>161</v>
      </c>
      <c r="B33" s="28">
        <f>(SUMIFS(Data!$S$2:$S$51,Data!$K$2:$K$51,"plant_core",Data!$G$2:$G$51,"legumes")+SUMIFS(Data!$T$2:$T$51,Data!$K$2:$K$51,"plant_core",Data!$G$2:$G$51,"legumes"))/1000</f>
        <v>19.115272</v>
      </c>
      <c r="C33" s="32">
        <f>IF((SUMIFS(Data!$S$2:$S$51,Data!$K$2:$K$51,"&lt;&gt;not applicable")+SUMIFS(Data!$T$2:$T$51,Data!$K$2:$K$51,"&lt;&gt;not applicable"))=0,"",B33*1000/(SUMIFS(Data!$S$2:$S$51,Data!$K$2:$K$51,"&lt;&gt;not applicable")+SUMIFS(Data!$T$2:$T$51,Data!$K$2:$K$51,"&lt;&gt;not applicable")))</f>
        <v>0.009655732702</v>
      </c>
      <c r="E33" s="50"/>
    </row>
    <row r="34" ht="15.75" customHeight="1">
      <c r="A34" s="17" t="s">
        <v>169</v>
      </c>
      <c r="B34" s="28">
        <f>(SUMIFS(Data!$S$2:$S$51,Data!$K$2:$K$51,"plant_core",Data!$G$2:$G$51,"nuts")+SUMIFS(Data!$T$2:$T$51,Data!$K$2:$K$51,"plant_core",Data!$G$2:$G$51,"nuts"))/1000</f>
        <v>36.460974</v>
      </c>
      <c r="C34" s="32">
        <f>IF((SUMIFS(Data!$S$2:$S$51,Data!$K$2:$K$51,"&lt;&gt;not applicable")+SUMIFS(Data!$T$2:$T$51,Data!$K$2:$K$51,"&lt;&gt;not applicable"))=0,"",B34*1000/(SUMIFS(Data!$S$2:$S$51,Data!$K$2:$K$51,"&lt;&gt;not applicable")+SUMIFS(Data!$T$2:$T$51,Data!$K$2:$K$51,"&lt;&gt;not applicable")))</f>
        <v>0.01841759924</v>
      </c>
      <c r="E34" s="50"/>
    </row>
    <row r="35" ht="15.75" customHeight="1">
      <c r="A35" s="17" t="s">
        <v>173</v>
      </c>
      <c r="B35" s="28">
        <f>(SUMIFS(Data!$S$2:$S$51,Data!$K$2:$K$51,"plant_core",Data!$G$2:$G$51,"seeds")+SUMIFS(Data!$T$2:$T$51,Data!$K$2:$K$51,"plant_core",Data!$G$2:$G$51,"seeds"))/1000</f>
        <v>11.448</v>
      </c>
      <c r="C35" s="32">
        <f>IF((SUMIFS(Data!$S$2:$S$51,Data!$K$2:$K$51,"&lt;&gt;not applicable")+SUMIFS(Data!$T$2:$T$51,Data!$K$2:$K$51,"&lt;&gt;not applicable"))=0,"",B35*1000/(SUMIFS(Data!$S$2:$S$51,Data!$K$2:$K$51,"&lt;&gt;not applicable")+SUMIFS(Data!$T$2:$T$51,Data!$K$2:$K$51,"&lt;&gt;not applicable")))</f>
        <v>0.005782749415</v>
      </c>
      <c r="E35" s="50"/>
    </row>
    <row r="36" ht="15.75" customHeight="1">
      <c r="A36" s="17" t="s">
        <v>209</v>
      </c>
      <c r="B36" s="28">
        <f>(SUMIFS(Data!$S$2:$S$51,Data!$K$2:$K$51,"plant_core",Data!$G$2:$G$51,"meat_egg_seafood_alternatives")+SUMIFS(Data!$T$2:$T$51,Data!$K$2:$K$51,"plant_core",Data!$G$2:$G$51,"meat_egg_seafood_alternatives"))/1000</f>
        <v>0</v>
      </c>
      <c r="C36" s="32">
        <f>IF((SUMIFS(Data!$S$2:$S$51,Data!$K$2:$K$51,"&lt;&gt;not applicable")+SUMIFS(Data!$T$2:$T$51,Data!$K$2:$K$51,"&lt;&gt;not applicable"))=0,"",B36*1000/(SUMIFS(Data!$S$2:$S$51,Data!$K$2:$K$51,"&lt;&gt;not applicable")+SUMIFS(Data!$T$2:$T$51,Data!$K$2:$K$51,"&lt;&gt;not applicable")))</f>
        <v>0</v>
      </c>
      <c r="E36" s="50"/>
    </row>
    <row r="37" ht="15.75" customHeight="1">
      <c r="A37" s="17" t="s">
        <v>211</v>
      </c>
      <c r="B37" s="28">
        <f>(SUMIFS(Data!$S$2:$S$51,Data!$K$2:$K$51,"plant_core",Data!$G$2:$G$51,"tofu_tempeh_seitan")+SUMIFS(Data!$T$2:$T$51,Data!$K$2:$K$51,"plant_core",Data!$G$2:$G$51,"tofu_tempeh_seitan"))/1000</f>
        <v>2.366464</v>
      </c>
      <c r="C37" s="32">
        <f>IF((SUMIFS(Data!$S$2:$S$51,Data!$K$2:$K$51,"&lt;&gt;not applicable")+SUMIFS(Data!$T$2:$T$51,Data!$K$2:$K$51,"&lt;&gt;not applicable"))=0,"",B37*1000/(SUMIFS(Data!$S$2:$S$51,Data!$K$2:$K$51,"&lt;&gt;not applicable")+SUMIFS(Data!$T$2:$T$51,Data!$K$2:$K$51,"&lt;&gt;not applicable")))</f>
        <v>0.001195376337</v>
      </c>
      <c r="E37" s="50"/>
    </row>
    <row r="38" ht="15.75" customHeight="1">
      <c r="A38" s="17" t="s">
        <v>213</v>
      </c>
      <c r="B38" s="28">
        <f>(SUMIFS(Data!$S$2:$S$51,Data!$K$2:$K$51,"plant_core",Data!$G$2:$G$51,"dairy_alternative_plant")+SUMIFS(Data!$T$2:$T$51,Data!$K$2:$K$51,"plant_core",Data!$G$2:$G$51,"dairy_alternative_plant"))/1000</f>
        <v>12.52195</v>
      </c>
      <c r="C38" s="32">
        <f>IF((SUMIFS(Data!$S$2:$S$51,Data!$K$2:$K$51,"&lt;&gt;not applicable")+SUMIFS(Data!$T$2:$T$51,Data!$K$2:$K$51,"&lt;&gt;not applicable"))=0,"",B38*1000/(SUMIFS(Data!$S$2:$S$51,Data!$K$2:$K$51,"&lt;&gt;not applicable")+SUMIFS(Data!$T$2:$T$51,Data!$K$2:$K$51,"&lt;&gt;not applicable")))</f>
        <v>0.006325235765</v>
      </c>
    </row>
    <row r="39" ht="15.75" customHeight="1">
      <c r="A39" s="51" t="s">
        <v>198</v>
      </c>
      <c r="B39" s="28">
        <f>(SUMIFS(Data!$S$2:$S$51,Data!$K$2:$K$51,"plant_core")+SUMIFS(Data!$T$2:$T$51,Data!$K$2:$K$51,"plant_core"))/1000-SUM(B33:B38)</f>
        <v>0</v>
      </c>
      <c r="C39" s="32">
        <f>IF((SUMIFS(Data!$S$2:$S$51,Data!$K$2:$K$51,"&lt;&gt;not applicable")+SUMIFS(Data!$T$2:$T$51,Data!$K$2:$K$51,"&lt;&gt;not applicable"))=0,"",B39*1000/(SUMIFS(Data!$S$2:$S$51,Data!$K$2:$K$51,"&lt;&gt;not applicable")+SUMIFS(Data!$T$2:$T$51,Data!$K$2:$K$51,"&lt;&gt;not applicable")))</f>
        <v>0</v>
      </c>
    </row>
    <row r="40" ht="15.75" customHeight="1">
      <c r="A40" s="43" t="s">
        <v>174</v>
      </c>
      <c r="B40" s="33">
        <f>(SUMIFS(Data!$S$2:$S$51,Data!$K$2:$K$51,"&lt;&gt;not applicable")+SUMIFS(Data!$T$2:$T$51,Data!$K$2:$K$51,"&lt;&gt;not applicable"))/1000</f>
        <v>1979.681148</v>
      </c>
      <c r="C40" s="34">
        <f>IF((SUMIFS(Data!$S$2:$S$51,Data!$K$2:$K$51,"&lt;&gt;not applicable")+SUMIFS(Data!$T$2:$T$51,Data!$K$2:$K$51,"&lt;&gt;not applicable"))=0,"",B40*1000/(SUMIFS(Data!$S$2:$S$51,Data!$K$2:$K$51,"&lt;&gt;not applicable")+SUMIFS(Data!$T$2:$T$51,Data!$K$2:$K$51,"&lt;&gt;not applicable")))</f>
        <v>1</v>
      </c>
    </row>
    <row r="41" ht="15.75" customHeight="1"/>
    <row r="42" ht="15.75" customHeight="1"/>
    <row r="43" ht="21.75" customHeight="1">
      <c r="A43" s="23" t="s">
        <v>216</v>
      </c>
      <c r="B43" s="4"/>
      <c r="C43" s="4"/>
      <c r="D43" s="4"/>
      <c r="E43" s="4"/>
      <c r="F43" s="4"/>
      <c r="G43" s="4"/>
    </row>
    <row r="44" ht="15.75" customHeight="1"/>
    <row r="45" ht="30.0" customHeight="1">
      <c r="A45" s="18" t="s">
        <v>217</v>
      </c>
      <c r="B45" s="20" t="s">
        <v>142</v>
      </c>
      <c r="C45" s="20" t="s">
        <v>145</v>
      </c>
      <c r="D45" s="20" t="s">
        <v>146</v>
      </c>
      <c r="E45" s="20" t="s">
        <v>147</v>
      </c>
      <c r="F45" s="20" t="s">
        <v>190</v>
      </c>
      <c r="G45" s="20" t="s">
        <v>191</v>
      </c>
    </row>
    <row r="46" ht="15.75" customHeight="1">
      <c r="A46" s="54" t="s">
        <v>218</v>
      </c>
      <c r="B46" s="28">
        <f>SUMIFS(Data!$R$2:$R$51,Data!$K$2:$K$51,"plant_core")/1000</f>
        <v>538.7137</v>
      </c>
      <c r="C46" s="28">
        <f t="shared" ref="C46:C49" si="1">D46+E46</f>
        <v>81.91266</v>
      </c>
      <c r="D46" s="28">
        <f>SUMIFS(Data!$S$2:$S$51,Data!$K$2:$K$51,"plant_core")/1000</f>
        <v>81.91266</v>
      </c>
      <c r="E46" s="28">
        <f>SUMIFS(Data!$T$2:$T$51,Data!$K$2:$K$51,"plant_core")/1000</f>
        <v>0</v>
      </c>
      <c r="F46" s="32">
        <f t="shared" ref="F46:F50" si="2">IF(C46=0,"",D46/C46)</f>
        <v>1</v>
      </c>
      <c r="G46" s="32">
        <f t="shared" ref="G46:G50" si="3">IF(C46=0,"",E46/C46)</f>
        <v>0</v>
      </c>
    </row>
    <row r="47" ht="15.75" customHeight="1">
      <c r="A47" s="54" t="s">
        <v>219</v>
      </c>
      <c r="B47" s="28">
        <f>SUMIFS(Data!$R$2:$R$51,Data!$K$2:$K$51,"plant_non_core")/1000</f>
        <v>23135.60315</v>
      </c>
      <c r="C47" s="28">
        <f t="shared" si="1"/>
        <v>526.5678126</v>
      </c>
      <c r="D47" s="28">
        <f>SUMIFS(Data!$S$2:$S$51,Data!$K$2:$K$51,"plant_non_core")/1000</f>
        <v>526.5678126</v>
      </c>
      <c r="E47" s="28">
        <f>SUMIFS(Data!$T$2:$T$51,Data!$K$2:$K$51,"plant_non_core")/1000</f>
        <v>0</v>
      </c>
      <c r="F47" s="32">
        <f t="shared" si="2"/>
        <v>1</v>
      </c>
      <c r="G47" s="32">
        <f t="shared" si="3"/>
        <v>0</v>
      </c>
    </row>
    <row r="48" ht="15.75" customHeight="1">
      <c r="A48" s="54" t="s">
        <v>222</v>
      </c>
      <c r="B48" s="28">
        <f>SUMIFS(Data!$R$2:$R$51,Data!$K$2:$K$51,"composite")/1000</f>
        <v>0</v>
      </c>
      <c r="C48" s="28">
        <f t="shared" si="1"/>
        <v>0</v>
      </c>
      <c r="D48" s="28">
        <f>SUMIFS(Data!$S$2:$S$51,Data!$K$2:$K$51,"composite")/1000</f>
        <v>0</v>
      </c>
      <c r="E48" s="28">
        <f>SUMIFS(Data!$T$2:$T$51,Data!$K$2:$K$51,"composite")/1000</f>
        <v>0</v>
      </c>
      <c r="F48" s="32" t="str">
        <f t="shared" si="2"/>
        <v/>
      </c>
      <c r="G48" s="32" t="str">
        <f t="shared" si="3"/>
        <v/>
      </c>
    </row>
    <row r="49" ht="15.75" customHeight="1">
      <c r="A49" s="54" t="s">
        <v>166</v>
      </c>
      <c r="B49" s="28">
        <f>SUMIFS(Data!$R$2:$R$51,Data!$K$2:$K$51,"animal_core")/1000</f>
        <v>14551.64622</v>
      </c>
      <c r="C49" s="28">
        <f t="shared" si="1"/>
        <v>1194.421245</v>
      </c>
      <c r="D49" s="28">
        <f>SUMIFS(Data!$S$2:$S$51,Data!$K$2:$K$51,"animal_core")/1000</f>
        <v>0</v>
      </c>
      <c r="E49" s="28">
        <f>SUMIFS(Data!$T$2:$T$51,Data!$K$2:$K$51,"animal_core")/1000</f>
        <v>1194.421245</v>
      </c>
      <c r="F49" s="32">
        <f t="shared" si="2"/>
        <v>0</v>
      </c>
      <c r="G49" s="32">
        <f t="shared" si="3"/>
        <v>1</v>
      </c>
    </row>
    <row r="50" ht="15.75" customHeight="1">
      <c r="A50" s="43" t="s">
        <v>174</v>
      </c>
      <c r="B50" s="56">
        <f t="shared" ref="B50:E50" si="4">SUM(B46:B49)</f>
        <v>38225.96307</v>
      </c>
      <c r="C50" s="56">
        <f t="shared" si="4"/>
        <v>1802.901717</v>
      </c>
      <c r="D50" s="56">
        <f t="shared" si="4"/>
        <v>608.4804726</v>
      </c>
      <c r="E50" s="56">
        <f t="shared" si="4"/>
        <v>1194.421245</v>
      </c>
      <c r="F50" s="57">
        <f t="shared" si="2"/>
        <v>0.337500634</v>
      </c>
      <c r="G50" s="57">
        <f t="shared" si="3"/>
        <v>0.662499366</v>
      </c>
    </row>
    <row r="51" ht="15.75" customHeight="1"/>
    <row r="52" ht="15.75" customHeight="1">
      <c r="A52" s="31" t="s">
        <v>226</v>
      </c>
    </row>
    <row r="53" ht="30.0" customHeight="1">
      <c r="A53" s="18"/>
      <c r="B53" s="20" t="s">
        <v>142</v>
      </c>
      <c r="C53" s="20" t="s">
        <v>145</v>
      </c>
      <c r="D53" s="20" t="s">
        <v>146</v>
      </c>
      <c r="E53" s="20" t="s">
        <v>147</v>
      </c>
      <c r="F53" s="20" t="s">
        <v>190</v>
      </c>
      <c r="G53" s="20" t="s">
        <v>191</v>
      </c>
    </row>
    <row r="54" ht="15.75" customHeight="1">
      <c r="A54" s="17" t="s">
        <v>227</v>
      </c>
      <c r="B54" s="28">
        <f>SUMIFS(Data!$R$2:$R$51,Data!$K$2:$K$51,"outside scope - non-food")/1000</f>
        <v>38.21952</v>
      </c>
      <c r="C54" s="28">
        <f>D54+E54</f>
        <v>0</v>
      </c>
      <c r="D54" s="28">
        <f>SUMIFS(Data!$S$2:$S$51,Data!$K$2:$K$51,"outside scope - non-food")/1000</f>
        <v>0</v>
      </c>
      <c r="E54" s="28">
        <f>SUMIFS(Data!$T$2:$T$51,Data!$K$2:$K$51,"outside scope - non-food")/1000</f>
        <v>0</v>
      </c>
      <c r="F54" s="32" t="str">
        <f>IF(C54=0,"",D54/C54)</f>
        <v/>
      </c>
      <c r="G54" s="32" t="str">
        <f>IF(C54=0,"",E54/C54)</f>
        <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sheetData>
  <mergeCells count="9">
    <mergeCell ref="A20:G20"/>
    <mergeCell ref="A43:G43"/>
    <mergeCell ref="A1:G1"/>
    <mergeCell ref="A3:B3"/>
    <mergeCell ref="C3:D4"/>
    <mergeCell ref="A4:B4"/>
    <mergeCell ref="A6:G6"/>
    <mergeCell ref="A8:G8"/>
    <mergeCell ref="A18:G18"/>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6.0"/>
    <col customWidth="1" min="2" max="7" width="15.0"/>
    <col customWidth="1" min="8" max="8" width="3.0"/>
    <col customWidth="1" min="9" max="9" width="14.0"/>
    <col customWidth="1" min="10" max="10" width="12.0"/>
  </cols>
  <sheetData>
    <row r="1" ht="25.5" customHeight="1">
      <c r="A1" s="23" t="s">
        <v>134</v>
      </c>
      <c r="B1" s="4"/>
      <c r="C1" s="4"/>
      <c r="D1" s="4"/>
      <c r="E1" s="4"/>
      <c r="F1" s="4"/>
      <c r="G1" s="4"/>
    </row>
    <row r="3">
      <c r="A3" s="25" t="s">
        <v>136</v>
      </c>
      <c r="B3" s="17" t="s">
        <v>137</v>
      </c>
    </row>
    <row r="4">
      <c r="A4" s="25" t="s">
        <v>138</v>
      </c>
      <c r="B4" s="17" t="s">
        <v>139</v>
      </c>
    </row>
    <row r="5">
      <c r="A5" s="25" t="s">
        <v>141</v>
      </c>
      <c r="B5" s="17" t="s">
        <v>143</v>
      </c>
    </row>
    <row r="7" ht="21.75" customHeight="1">
      <c r="A7" s="26" t="s">
        <v>144</v>
      </c>
      <c r="B7" s="4"/>
      <c r="C7" s="4"/>
      <c r="D7" s="4"/>
      <c r="E7" s="4"/>
      <c r="F7" s="4"/>
      <c r="G7" s="4"/>
      <c r="H7" s="4"/>
      <c r="I7" s="4"/>
      <c r="J7" s="4"/>
    </row>
    <row r="9">
      <c r="B9" s="27" t="s">
        <v>151</v>
      </c>
      <c r="C9" s="4"/>
      <c r="F9" s="27" t="s">
        <v>152</v>
      </c>
      <c r="G9" s="4"/>
      <c r="I9" s="27" t="s">
        <v>153</v>
      </c>
      <c r="J9" s="4"/>
    </row>
    <row r="10" ht="30.0" customHeight="1">
      <c r="A10" s="18"/>
      <c r="B10" s="20" t="s">
        <v>142</v>
      </c>
      <c r="C10" s="20" t="s">
        <v>154</v>
      </c>
      <c r="D10" s="20" t="s">
        <v>155</v>
      </c>
      <c r="E10" s="20"/>
      <c r="F10" s="20" t="s">
        <v>142</v>
      </c>
      <c r="G10" s="20" t="s">
        <v>154</v>
      </c>
      <c r="H10" s="20"/>
      <c r="I10" s="20" t="s">
        <v>145</v>
      </c>
      <c r="J10" s="20" t="s">
        <v>154</v>
      </c>
    </row>
    <row r="11">
      <c r="A11" s="29" t="s">
        <v>156</v>
      </c>
      <c r="B11" s="30"/>
      <c r="C11" s="30"/>
      <c r="D11" s="30"/>
    </row>
    <row r="12">
      <c r="A12" s="31" t="s">
        <v>157</v>
      </c>
      <c r="B12" s="33">
        <f>(SUMIFS(Data!$AD$2:$AD$51,Data!$G$2:$G$51,"legumes") + SUMIFS(Data!$AD$2:$AD$51,Data!$G$2:$G$51,"nuts") + SUMIFS(Data!$AD$2:$AD$51,Data!$G$2:$G$51,"seeds") + SUMIFS(Data!$AD$2:$AD$51,Data!$G$2:$G$51,"meat_egg_seafood_alternatives") + SUMIFS(Data!$AD$2:$AD$51,Data!$G$2:$G$51,"tofu_tempeh_seitan"))/1000</f>
        <v>379.27659</v>
      </c>
      <c r="C12" s="34">
        <f>IF(SUMIFS(Data!$AD$2:$AD$51,Data!$I$2:$I$51,"No")=0,"",B12*1000/SUMIFS(Data!$AD$2:$AD$51,Data!$I$2:$I$51,"No"))</f>
        <v>0.01051199859</v>
      </c>
      <c r="D12" s="35">
        <v>0.1</v>
      </c>
      <c r="F12" s="36">
        <f>(SUMIFS(Data!$R$2:$R$51,Data!$G$2:$G$51,"legumes") + SUMIFS(Data!$R$2:$R$51,Data!$G$2:$G$51,"nuts") + SUMIFS(Data!$R$2:$R$51,Data!$G$2:$G$51,"seeds") + SUMIFS(Data!$R$2:$R$51,Data!$G$2:$G$51,"meat_egg_seafood_alternatives") + SUMIFS(Data!$R$2:$R$51,Data!$G$2:$G$51,"tofu_tempeh_seitan"))/1000</f>
        <v>379.27659</v>
      </c>
      <c r="G12" s="37">
        <f>IF(SUMIFS(Data!$R$2:$R$51,Data!$I$2:$I$51,"No")=0,"",F12*1000/SUMIFS(Data!$R$2:$R$51,Data!$I$2:$I$51,"No"))</f>
        <v>0.01224073616</v>
      </c>
      <c r="I12" s="39">
        <f>(SUMIFS(Data!$S$2:$S$51,Data!$G$2:$G$51,"legumes")+SUMIFS(Data!$T$2:$T$51,Data!$G$2:$G$51,"legumes") + SUMIFS(Data!$S$2:$S$51,Data!$G$2:$G$51,"nuts")+SUMIFS(Data!$T$2:$T$51,Data!$G$2:$G$51,"nuts") + SUMIFS(Data!$S$2:$S$51,Data!$G$2:$G$51,"seeds")+SUMIFS(Data!$T$2:$T$51,Data!$G$2:$G$51,"seeds") + SUMIFS(Data!$S$2:$S$51,Data!$G$2:$G$51,"meat_egg_seafood_alternatives")+SUMIFS(Data!$T$2:$T$51,Data!$G$2:$G$51,"meat_egg_seafood_alternatives") + SUMIFS(Data!$S$2:$S$51,Data!$G$2:$G$51,"tofu_tempeh_seitan")+SUMIFS(Data!$T$2:$T$51,Data!$G$2:$G$51,"tofu_tempeh_seitan"))/1000</f>
        <v>72.5023724</v>
      </c>
      <c r="J12" s="40">
        <f>IF((SUMIFS(Data!$S$2:$S$51,Data!$I$2:$I$51,"No")+SUMIFS(Data!$T$2:$T$51,Data!$I$2:$I$51,"No"))=0,"",I12*1000/(SUMIFS(Data!$S$2:$S$51,Data!$I$2:$I$51,"No")+SUMIFS(Data!$T$2:$T$51,Data!$I$2:$I$51,"No")))</f>
        <v>0.04116428071</v>
      </c>
    </row>
    <row r="13">
      <c r="A13" s="17" t="s">
        <v>161</v>
      </c>
      <c r="B13" s="28">
        <f>(SUMIFS(Data!$AD$2:$AD$51,Data!$G$2:$G$51,"legumes"))/1000</f>
        <v>173.7752</v>
      </c>
      <c r="C13" s="32">
        <f>IF(SUMIFS(Data!$AD$2:$AD$51,Data!$I$2:$I$51,"No")=0,"",B13*1000/SUMIFS(Data!$AD$2:$AD$51,Data!$I$2:$I$51,"No"))</f>
        <v>0.004816339066</v>
      </c>
      <c r="D13" s="44" t="s">
        <v>167</v>
      </c>
      <c r="F13" s="36">
        <f>(SUMIFS(Data!$R$2:$R$51,Data!$G$2:$G$51,"legumes"))/1000</f>
        <v>173.7752</v>
      </c>
      <c r="G13" s="37">
        <f>IF(SUMIFS(Data!$R$2:$R$51,Data!$I$2:$I$51,"No")=0,"",F13*1000/SUMIFS(Data!$R$2:$R$51,Data!$I$2:$I$51,"No"))</f>
        <v>0.00560840408</v>
      </c>
      <c r="I13" s="45">
        <f>(SUMIFS(Data!$S$2:$S$51,Data!$G$2:$G$51,"legumes")+SUMIFS(Data!$T$2:$T$51,Data!$G$2:$G$51,"legumes"))/1000</f>
        <v>19.115272</v>
      </c>
      <c r="J13" s="46">
        <f>IF((SUMIFS(Data!$S$2:$S$51,Data!$I$2:$I$51,"No")+SUMIFS(Data!$T$2:$T$51,Data!$I$2:$I$51,"No"))=0,"",I13*1000/(SUMIFS(Data!$S$2:$S$51,Data!$I$2:$I$51,"No")+SUMIFS(Data!$T$2:$T$51,Data!$I$2:$I$51,"No")))</f>
        <v>0.01085297483</v>
      </c>
    </row>
    <row r="14">
      <c r="A14" s="17" t="s">
        <v>169</v>
      </c>
      <c r="B14" s="28">
        <f>(SUMIFS(Data!$AD$2:$AD$51,Data!$G$2:$G$51,"nuts"))/1000</f>
        <v>133.1031</v>
      </c>
      <c r="C14" s="32">
        <f>IF(SUMIFS(Data!$AD$2:$AD$51,Data!$I$2:$I$51,"No")=0,"",B14*1000/SUMIFS(Data!$AD$2:$AD$51,Data!$I$2:$I$51,"No"))</f>
        <v>0.003689074508</v>
      </c>
      <c r="D14" s="44" t="s">
        <v>167</v>
      </c>
      <c r="F14" s="36">
        <f>(SUMIFS(Data!$R$2:$R$51,Data!$G$2:$G$51,"nuts"))/1000</f>
        <v>133.1031</v>
      </c>
      <c r="G14" s="37">
        <f>IF(SUMIFS(Data!$R$2:$R$51,Data!$I$2:$I$51,"No")=0,"",F14*1000/SUMIFS(Data!$R$2:$R$51,Data!$I$2:$I$51,"No"))</f>
        <v>0.004295756639</v>
      </c>
      <c r="I14" s="45">
        <f>(SUMIFS(Data!$S$2:$S$51,Data!$G$2:$G$51,"nuts")+SUMIFS(Data!$T$2:$T$51,Data!$G$2:$G$51,"nuts"))/1000</f>
        <v>36.460974</v>
      </c>
      <c r="J14" s="46">
        <f>IF((SUMIFS(Data!$S$2:$S$51,Data!$I$2:$I$51,"No")+SUMIFS(Data!$T$2:$T$51,Data!$I$2:$I$51,"No"))=0,"",I14*1000/(SUMIFS(Data!$S$2:$S$51,Data!$I$2:$I$51,"No")+SUMIFS(Data!$T$2:$T$51,Data!$I$2:$I$51,"No")))</f>
        <v>0.02070125044</v>
      </c>
    </row>
    <row r="15">
      <c r="A15" s="17" t="s">
        <v>173</v>
      </c>
      <c r="B15" s="28">
        <f>(SUMIFS(Data!$AD$2:$AD$51,Data!$G$2:$G$51,"seeds"))/1000</f>
        <v>38.16</v>
      </c>
      <c r="C15" s="32">
        <f>IF(SUMIFS(Data!$AD$2:$AD$51,Data!$I$2:$I$51,"No")=0,"",B15*1000/SUMIFS(Data!$AD$2:$AD$51,Data!$I$2:$I$51,"No"))</f>
        <v>0.001057639403</v>
      </c>
      <c r="D15" s="44" t="s">
        <v>167</v>
      </c>
      <c r="F15" s="36">
        <f>(SUMIFS(Data!$R$2:$R$51,Data!$G$2:$G$51,"seeds"))/1000</f>
        <v>38.16</v>
      </c>
      <c r="G15" s="37">
        <f>IF(SUMIFS(Data!$R$2:$R$51,Data!$I$2:$I$51,"No")=0,"",F15*1000/SUMIFS(Data!$R$2:$R$51,Data!$I$2:$I$51,"No"))</f>
        <v>0.001231572167</v>
      </c>
      <c r="I15" s="45">
        <f>(SUMIFS(Data!$S$2:$S$51,Data!$G$2:$G$51,"seeds")+SUMIFS(Data!$T$2:$T$51,Data!$G$2:$G$51,"seeds"))/1000</f>
        <v>11.448</v>
      </c>
      <c r="J15" s="46">
        <f>IF((SUMIFS(Data!$S$2:$S$51,Data!$I$2:$I$51,"No")+SUMIFS(Data!$T$2:$T$51,Data!$I$2:$I$51,"No"))=0,"",I15*1000/(SUMIFS(Data!$S$2:$S$51,Data!$I$2:$I$51,"No")+SUMIFS(Data!$T$2:$T$51,Data!$I$2:$I$51,"No")))</f>
        <v>0.00649976918</v>
      </c>
    </row>
    <row r="16">
      <c r="A16" s="17" t="s">
        <v>178</v>
      </c>
      <c r="B16" s="28">
        <f>(SUMIFS(Data!$AD$2:$AD$51,Data!$G$2:$G$51,"meat_egg_seafood_alternatives"))/1000</f>
        <v>19.44789</v>
      </c>
      <c r="C16" s="32">
        <f>IF(SUMIFS(Data!$AD$2:$AD$51,Data!$I$2:$I$51,"No")=0,"",B16*1000/SUMIFS(Data!$AD$2:$AD$51,Data!$I$2:$I$51,"No"))</f>
        <v>0.0005390161103</v>
      </c>
      <c r="D16" s="44" t="s">
        <v>167</v>
      </c>
      <c r="F16" s="36">
        <f>(SUMIFS(Data!$R$2:$R$51,Data!$G$2:$G$51,"meat_egg_seafood_alternatives"))/1000</f>
        <v>19.44789</v>
      </c>
      <c r="G16" s="37">
        <f>IF(SUMIFS(Data!$R$2:$R$51,Data!$I$2:$I$51,"No")=0,"",F16*1000/SUMIFS(Data!$R$2:$R$51,Data!$I$2:$I$51,"No"))</f>
        <v>0.0006276593302</v>
      </c>
      <c r="I16" s="45">
        <f>(SUMIFS(Data!$S$2:$S$51,Data!$G$2:$G$51,"meat_egg_seafood_alternatives")+SUMIFS(Data!$T$2:$T$51,Data!$G$2:$G$51,"meat_egg_seafood_alternatives"))/1000</f>
        <v>3.1116624</v>
      </c>
      <c r="J16" s="46">
        <f>IF((SUMIFS(Data!$S$2:$S$51,Data!$I$2:$I$51,"No")+SUMIFS(Data!$T$2:$T$51,Data!$I$2:$I$51,"No"))=0,"",I16*1000/(SUMIFS(Data!$S$2:$S$51,Data!$I$2:$I$51,"No")+SUMIFS(Data!$T$2:$T$51,Data!$I$2:$I$51,"No")))</f>
        <v>0.001766691769</v>
      </c>
    </row>
    <row r="17">
      <c r="A17" s="17" t="s">
        <v>183</v>
      </c>
      <c r="B17" s="28">
        <f>(SUMIFS(Data!$AD$2:$AD$51,Data!$G$2:$G$51,"tofu_tempeh_seitan"))/1000</f>
        <v>14.7904</v>
      </c>
      <c r="C17" s="32">
        <f>IF(SUMIFS(Data!$AD$2:$AD$51,Data!$I$2:$I$51,"No")=0,"",B17*1000/SUMIFS(Data!$AD$2:$AD$51,Data!$I$2:$I$51,"No"))</f>
        <v>0.0004099295028</v>
      </c>
      <c r="D17" s="44" t="s">
        <v>167</v>
      </c>
      <c r="F17" s="36">
        <f>(SUMIFS(Data!$R$2:$R$51,Data!$G$2:$G$51,"tofu_tempeh_seitan"))/1000</f>
        <v>14.7904</v>
      </c>
      <c r="G17" s="37">
        <f>IF(SUMIFS(Data!$R$2:$R$51,Data!$I$2:$I$51,"No")=0,"",F17*1000/SUMIFS(Data!$R$2:$R$51,Data!$I$2:$I$51,"No"))</f>
        <v>0.0004773439461</v>
      </c>
      <c r="I17" s="45">
        <f>(SUMIFS(Data!$S$2:$S$51,Data!$G$2:$G$51,"tofu_tempeh_seitan")+SUMIFS(Data!$T$2:$T$51,Data!$G$2:$G$51,"tofu_tempeh_seitan"))/1000</f>
        <v>2.366464</v>
      </c>
      <c r="J17" s="46">
        <f>IF((SUMIFS(Data!$S$2:$S$51,Data!$I$2:$I$51,"No")+SUMIFS(Data!$T$2:$T$51,Data!$I$2:$I$51,"No"))=0,"",I17*1000/(SUMIFS(Data!$S$2:$S$51,Data!$I$2:$I$51,"No")+SUMIFS(Data!$T$2:$T$51,Data!$I$2:$I$51,"No")))</f>
        <v>0.001343594494</v>
      </c>
    </row>
    <row r="18">
      <c r="A18" s="31" t="s">
        <v>187</v>
      </c>
      <c r="B18" s="33">
        <f>(SUMIFS(Data!$AD$2:$AD$51,Data!$G$2:$G$51,"red_meat") + SUMIFS(Data!$AD$2:$AD$51,Data!$G$2:$G$51,"poultry") + SUMIFS(Data!$AD$2:$AD$51,Data!$G$2:$G$51,"seafood") + SUMIFS(Data!$AD$2:$AD$51,Data!$G$2:$G$51,"eggs") + SUMIFS(Data!$AD$2:$AD$51,Data!$G$2:$G$51,"other_animal"))/1000</f>
        <v>3389.815054</v>
      </c>
      <c r="C18" s="34">
        <f>IF(SUMIFS(Data!$AD$2:$AD$51,Data!$I$2:$I$51,"No")=0,"",B18*1000/SUMIFS(Data!$AD$2:$AD$51,Data!$I$2:$I$51,"No"))</f>
        <v>0.09395183359</v>
      </c>
      <c r="D18" s="35">
        <v>0.06</v>
      </c>
      <c r="F18" s="36">
        <f>(SUMIFS(Data!$R$2:$R$51,Data!$G$2:$G$51,"red_meat") + SUMIFS(Data!$R$2:$R$51,Data!$G$2:$G$51,"poultry") + SUMIFS(Data!$R$2:$R$51,Data!$G$2:$G$51,"seafood") + SUMIFS(Data!$R$2:$R$51,Data!$G$2:$G$51,"eggs") + SUMIFS(Data!$R$2:$R$51,Data!$G$2:$G$51,"other_animal"))/1000</f>
        <v>3389.815054</v>
      </c>
      <c r="G18" s="37">
        <f>IF(SUMIFS(Data!$R$2:$R$51,Data!$I$2:$I$51,"No")=0,"",F18*1000/SUMIFS(Data!$R$2:$R$51,Data!$I$2:$I$51,"No"))</f>
        <v>0.1094025648</v>
      </c>
      <c r="I18" s="39">
        <f>(SUMIFS(Data!$S$2:$S$51,Data!$G$2:$G$51,"red_meat")+SUMIFS(Data!$T$2:$T$51,Data!$G$2:$G$51,"red_meat") + SUMIFS(Data!$S$2:$S$51,Data!$G$2:$G$51,"poultry")+SUMIFS(Data!$T$2:$T$51,Data!$G$2:$G$51,"poultry") + SUMIFS(Data!$S$2:$S$51,Data!$G$2:$G$51,"seafood")+SUMIFS(Data!$T$2:$T$51,Data!$G$2:$G$51,"seafood") + SUMIFS(Data!$S$2:$S$51,Data!$G$2:$G$51,"eggs")+SUMIFS(Data!$T$2:$T$51,Data!$G$2:$G$51,"eggs") + SUMIFS(Data!$S$2:$S$51,Data!$G$2:$G$51,"other_animal")+SUMIFS(Data!$T$2:$T$51,Data!$G$2:$G$51,"other_animal"))/1000</f>
        <v>631.1508962</v>
      </c>
      <c r="J18" s="40">
        <f>IF((SUMIFS(Data!$S$2:$S$51,Data!$I$2:$I$51,"No")+SUMIFS(Data!$T$2:$T$51,Data!$I$2:$I$51,"No"))=0,"",I18*1000/(SUMIFS(Data!$S$2:$S$51,Data!$I$2:$I$51,"No")+SUMIFS(Data!$T$2:$T$51,Data!$I$2:$I$51,"No")))</f>
        <v>0.3583451383</v>
      </c>
    </row>
    <row r="19">
      <c r="A19" s="17" t="s">
        <v>179</v>
      </c>
      <c r="B19" s="28">
        <f>(SUMIFS(Data!$AD$2:$AD$51,Data!$G$2:$G$51,"red_meat"))/1000</f>
        <v>131.564</v>
      </c>
      <c r="C19" s="32">
        <f>IF(SUMIFS(Data!$AD$2:$AD$51,Data!$I$2:$I$51,"No")=0,"",B19*1000/SUMIFS(Data!$AD$2:$AD$51,Data!$I$2:$I$51,"No"))</f>
        <v>0.003646416939</v>
      </c>
      <c r="D19" s="44" t="s">
        <v>167</v>
      </c>
      <c r="F19" s="36">
        <f>(SUMIFS(Data!$R$2:$R$51,Data!$G$2:$G$51,"red_meat"))/1000</f>
        <v>131.564</v>
      </c>
      <c r="G19" s="37">
        <f>IF(SUMIFS(Data!$R$2:$R$51,Data!$I$2:$I$51,"No")=0,"",F19*1000/SUMIFS(Data!$R$2:$R$51,Data!$I$2:$I$51,"No"))</f>
        <v>0.004246083874</v>
      </c>
      <c r="I19" s="45">
        <f>(SUMIFS(Data!$S$2:$S$51,Data!$G$2:$G$51,"red_meat")+SUMIFS(Data!$T$2:$T$51,Data!$G$2:$G$51,"red_meat"))/1000</f>
        <v>26.3128</v>
      </c>
      <c r="J19" s="46">
        <f>IF((SUMIFS(Data!$S$2:$S$51,Data!$I$2:$I$51,"No")+SUMIFS(Data!$T$2:$T$51,Data!$I$2:$I$51,"No"))=0,"",I19*1000/(SUMIFS(Data!$S$2:$S$51,Data!$I$2:$I$51,"No")+SUMIFS(Data!$T$2:$T$51,Data!$I$2:$I$51,"No")))</f>
        <v>0.01493947646</v>
      </c>
    </row>
    <row r="20" ht="15.75" customHeight="1">
      <c r="A20" s="17" t="s">
        <v>180</v>
      </c>
      <c r="B20" s="28">
        <f>(SUMIFS(Data!$AD$2:$AD$51,Data!$G$2:$G$51,"poultry"))/1000</f>
        <v>1040.133</v>
      </c>
      <c r="C20" s="32">
        <f>IF(SUMIFS(Data!$AD$2:$AD$51,Data!$I$2:$I$51,"No")=0,"",B20*1000/SUMIFS(Data!$AD$2:$AD$51,Data!$I$2:$I$51,"No"))</f>
        <v>0.02882824018</v>
      </c>
      <c r="D20" s="44" t="s">
        <v>167</v>
      </c>
      <c r="F20" s="36">
        <f>(SUMIFS(Data!$R$2:$R$51,Data!$G$2:$G$51,"poultry"))/1000</f>
        <v>1040.133</v>
      </c>
      <c r="G20" s="37">
        <f>IF(SUMIFS(Data!$R$2:$R$51,Data!$I$2:$I$51,"No")=0,"",F20*1000/SUMIFS(Data!$R$2:$R$51,Data!$I$2:$I$51,"No"))</f>
        <v>0.03356915234</v>
      </c>
      <c r="I20" s="45">
        <f>(SUMIFS(Data!$S$2:$S$51,Data!$G$2:$G$51,"poultry")+SUMIFS(Data!$T$2:$T$51,Data!$G$2:$G$51,"poultry"))/1000</f>
        <v>219.850272</v>
      </c>
      <c r="J20" s="46">
        <f>IF((SUMIFS(Data!$S$2:$S$51,Data!$I$2:$I$51,"No")+SUMIFS(Data!$T$2:$T$51,Data!$I$2:$I$51,"No"))=0,"",I20*1000/(SUMIFS(Data!$S$2:$S$51,Data!$I$2:$I$51,"No")+SUMIFS(Data!$T$2:$T$51,Data!$I$2:$I$51,"No")))</f>
        <v>0.1248232025</v>
      </c>
    </row>
    <row r="21" ht="15.75" customHeight="1">
      <c r="A21" s="17" t="s">
        <v>210</v>
      </c>
      <c r="B21" s="28">
        <f>(SUMIFS(Data!$AD$2:$AD$51,Data!$G$2:$G$51,"seafood"))/1000</f>
        <v>774.237</v>
      </c>
      <c r="C21" s="32">
        <f>IF(SUMIFS(Data!$AD$2:$AD$51,Data!$I$2:$I$51,"No")=0,"",B21*1000/SUMIFS(Data!$AD$2:$AD$51,Data!$I$2:$I$51,"No"))</f>
        <v>0.02145868864</v>
      </c>
      <c r="D21" s="44" t="s">
        <v>167</v>
      </c>
      <c r="F21" s="36">
        <f>(SUMIFS(Data!$R$2:$R$51,Data!$G$2:$G$51,"seafood"))/1000</f>
        <v>774.237</v>
      </c>
      <c r="G21" s="37">
        <f>IF(SUMIFS(Data!$R$2:$R$51,Data!$I$2:$I$51,"No")=0,"",F21*1000/SUMIFS(Data!$R$2:$R$51,Data!$I$2:$I$51,"No"))</f>
        <v>0.02498765042</v>
      </c>
      <c r="I21" s="45">
        <f>(SUMIFS(Data!$S$2:$S$51,Data!$G$2:$G$51,"seafood")+SUMIFS(Data!$T$2:$T$51,Data!$G$2:$G$51,"seafood"))/1000</f>
        <v>174.06894</v>
      </c>
      <c r="J21" s="46">
        <f>IF((SUMIFS(Data!$S$2:$S$51,Data!$I$2:$I$51,"No")+SUMIFS(Data!$T$2:$T$51,Data!$I$2:$I$51,"No"))=0,"",I21*1000/(SUMIFS(Data!$S$2:$S$51,Data!$I$2:$I$51,"No")+SUMIFS(Data!$T$2:$T$51,Data!$I$2:$I$51,"No")))</f>
        <v>0.09883018269</v>
      </c>
    </row>
    <row r="22" ht="15.75" customHeight="1">
      <c r="A22" s="17" t="s">
        <v>184</v>
      </c>
      <c r="B22" s="28">
        <f>(SUMIFS(Data!$AD$2:$AD$51,Data!$G$2:$G$51,"eggs"))/1000</f>
        <v>1434.487054</v>
      </c>
      <c r="C22" s="32">
        <f>IF(SUMIFS(Data!$AD$2:$AD$51,Data!$I$2:$I$51,"No")=0,"",B22*1000/SUMIFS(Data!$AD$2:$AD$51,Data!$I$2:$I$51,"No"))</f>
        <v>0.03975812451</v>
      </c>
      <c r="D22" s="44" t="s">
        <v>167</v>
      </c>
      <c r="F22" s="36">
        <f>(SUMIFS(Data!$R$2:$R$51,Data!$G$2:$G$51,"eggs"))/1000</f>
        <v>1434.487054</v>
      </c>
      <c r="G22" s="37">
        <f>IF(SUMIFS(Data!$R$2:$R$51,Data!$I$2:$I$51,"No")=0,"",F22*1000/SUMIFS(Data!$R$2:$R$51,Data!$I$2:$I$51,"No"))</f>
        <v>0.04629649712</v>
      </c>
      <c r="I22" s="45">
        <f>(SUMIFS(Data!$S$2:$S$51,Data!$G$2:$G$51,"eggs")+SUMIFS(Data!$T$2:$T$51,Data!$G$2:$G$51,"eggs"))/1000</f>
        <v>209.4158442</v>
      </c>
      <c r="J22" s="46">
        <f>IF((SUMIFS(Data!$S$2:$S$51,Data!$I$2:$I$51,"No")+SUMIFS(Data!$T$2:$T$51,Data!$I$2:$I$51,"No"))=0,"",I22*1000/(SUMIFS(Data!$S$2:$S$51,Data!$I$2:$I$51,"No")+SUMIFS(Data!$T$2:$T$51,Data!$I$2:$I$51,"No")))</f>
        <v>0.1188989037</v>
      </c>
    </row>
    <row r="23" ht="15.75" customHeight="1">
      <c r="A23" s="17" t="s">
        <v>215</v>
      </c>
      <c r="B23" s="28">
        <f>(SUMIFS(Data!$AD$2:$AD$51,Data!$G$2:$G$51,"other_animal"))/1000</f>
        <v>9.394</v>
      </c>
      <c r="C23" s="32">
        <f>IF(SUMIFS(Data!$AD$2:$AD$51,Data!$I$2:$I$51,"No")=0,"",B23*1000/SUMIFS(Data!$AD$2:$AD$51,Data!$I$2:$I$51,"No"))</f>
        <v>0.0002603633268</v>
      </c>
      <c r="D23" s="44" t="s">
        <v>167</v>
      </c>
      <c r="F23" s="36">
        <f>(SUMIFS(Data!$R$2:$R$51,Data!$G$2:$G$51,"other_animal"))/1000</f>
        <v>9.394</v>
      </c>
      <c r="G23" s="37">
        <f>IF(SUMIFS(Data!$R$2:$R$51,Data!$I$2:$I$51,"No")=0,"",F23*1000/SUMIFS(Data!$R$2:$R$51,Data!$I$2:$I$51,"No"))</f>
        <v>0.0003031810519</v>
      </c>
      <c r="I23" s="45">
        <f>(SUMIFS(Data!$S$2:$S$51,Data!$G$2:$G$51,"other_animal")+SUMIFS(Data!$T$2:$T$51,Data!$G$2:$G$51,"other_animal"))/1000</f>
        <v>1.50304</v>
      </c>
      <c r="J23" s="46">
        <f>IF((SUMIFS(Data!$S$2:$S$51,Data!$I$2:$I$51,"No")+SUMIFS(Data!$T$2:$T$51,Data!$I$2:$I$51,"No"))=0,"",I23*1000/(SUMIFS(Data!$S$2:$S$51,Data!$I$2:$I$51,"No")+SUMIFS(Data!$T$2:$T$51,Data!$I$2:$I$51,"No")))</f>
        <v>0.0008533729095</v>
      </c>
    </row>
    <row r="24" ht="15.75" customHeight="1">
      <c r="A24" s="29" t="s">
        <v>220</v>
      </c>
      <c r="B24" s="30"/>
      <c r="C24" s="30"/>
      <c r="D24" s="30"/>
    </row>
    <row r="25" ht="15.75" customHeight="1">
      <c r="A25" s="17" t="s">
        <v>195</v>
      </c>
      <c r="B25" s="28">
        <f>(SUMIFS(Data!$AD$2:$AD$51,Data!$G$2:$G$51,"dairy_animal"))/1000</f>
        <v>15964.03012</v>
      </c>
      <c r="C25" s="32">
        <f>IF(SUMIFS(Data!$AD$2:$AD$51,Data!$I$2:$I$51,"No")=0,"",B25*1000/SUMIFS(Data!$AD$2:$AD$51,Data!$I$2:$I$51,"No"))</f>
        <v>0.4424577381</v>
      </c>
      <c r="D25" s="35">
        <v>0.19</v>
      </c>
      <c r="F25" s="36">
        <f>(SUMIFS(Data!$R$2:$R$51,Data!$G$2:$G$51,"dairy_animal"))/1000</f>
        <v>10868.46592</v>
      </c>
      <c r="G25" s="37">
        <f>IF(SUMIFS(Data!$R$2:$R$51,Data!$I$2:$I$51,"No")=0,"",F25*1000/SUMIFS(Data!$R$2:$R$51,Data!$I$2:$I$51,"No"))</f>
        <v>0.3507678231</v>
      </c>
      <c r="I25" s="45">
        <f>(SUMIFS(Data!$S$2:$S$51,Data!$G$2:$G$51,"dairy_animal")+SUMIFS(Data!$T$2:$T$51,Data!$G$2:$G$51,"dairy_animal"))/1000</f>
        <v>538.847096</v>
      </c>
      <c r="J25" s="46">
        <f>IF((SUMIFS(Data!$S$2:$S$51,Data!$I$2:$I$51,"No")+SUMIFS(Data!$T$2:$T$51,Data!$I$2:$I$51,"No"))=0,"",I25*1000/(SUMIFS(Data!$S$2:$S$51,Data!$I$2:$I$51,"No")+SUMIFS(Data!$T$2:$T$51,Data!$I$2:$I$51,"No")))</f>
        <v>0.3059383077</v>
      </c>
    </row>
    <row r="26" ht="15.75" customHeight="1">
      <c r="A26" s="17" t="s">
        <v>223</v>
      </c>
      <c r="B26" s="28">
        <f>(SUMIFS(Data!$AD$2:$AD$51,Data!$G$2:$G$51,"dairy_alternative_plant"))/1000</f>
        <v>178.885</v>
      </c>
      <c r="C26" s="32">
        <f>IF(SUMIFS(Data!$AD$2:$AD$51,Data!$I$2:$I$51,"No")=0,"",B26*1000/SUMIFS(Data!$AD$2:$AD$51,Data!$I$2:$I$51,"No"))</f>
        <v>0.00495796186</v>
      </c>
      <c r="D26" s="44" t="s">
        <v>225</v>
      </c>
      <c r="F26" s="36">
        <f>(SUMIFS(Data!$R$2:$R$51,Data!$G$2:$G$51,"dairy_alternative_plant"))/1000</f>
        <v>178.885</v>
      </c>
      <c r="G26" s="37">
        <f>IF(SUMIFS(Data!$R$2:$R$51,Data!$I$2:$I$51,"No")=0,"",F26*1000/SUMIFS(Data!$R$2:$R$51,Data!$I$2:$I$51,"No"))</f>
        <v>0.005773317274</v>
      </c>
      <c r="I26" s="45">
        <f>(SUMIFS(Data!$S$2:$S$51,Data!$G$2:$G$51,"dairy_alternative_plant")+SUMIFS(Data!$T$2:$T$51,Data!$G$2:$G$51,"dairy_alternative_plant"))/1000</f>
        <v>12.52195</v>
      </c>
      <c r="J26" s="46">
        <f>IF((SUMIFS(Data!$S$2:$S$51,Data!$I$2:$I$51,"No")+SUMIFS(Data!$T$2:$T$51,Data!$I$2:$I$51,"No"))=0,"",I26*1000/(SUMIFS(Data!$S$2:$S$51,Data!$I$2:$I$51,"No")+SUMIFS(Data!$T$2:$T$51,Data!$I$2:$I$51,"No")))</f>
        <v>0.007109519976</v>
      </c>
    </row>
    <row r="27" ht="15.75" customHeight="1">
      <c r="A27" s="29" t="s">
        <v>228</v>
      </c>
      <c r="B27" s="30"/>
      <c r="C27" s="30"/>
      <c r="D27" s="30"/>
    </row>
    <row r="28" ht="15.75" customHeight="1">
      <c r="A28" s="17" t="s">
        <v>229</v>
      </c>
      <c r="B28" s="28">
        <f>(SUMIFS(Data!$AD$2:$AD$51,Data!$G$2:$G$51,"animal_based_fat"))/1000</f>
        <v>150.10125</v>
      </c>
      <c r="C28" s="32">
        <f>IF(SUMIFS(Data!$AD$2:$AD$51,Data!$I$2:$I$51,"No")=0,"",B28*1000/SUMIFS(Data!$AD$2:$AD$51,Data!$I$2:$I$51,"No"))</f>
        <v>0.004160193827</v>
      </c>
      <c r="D28" s="35">
        <v>0.01</v>
      </c>
      <c r="F28" s="36">
        <f>(SUMIFS(Data!$R$2:$R$51,Data!$G$2:$G$51,"animal_based_fat"))/1000</f>
        <v>150.10125</v>
      </c>
      <c r="G28" s="37">
        <f>IF(SUMIFS(Data!$R$2:$R$51,Data!$I$2:$I$51,"No")=0,"",F28*1000/SUMIFS(Data!$R$2:$R$51,Data!$I$2:$I$51,"No"))</f>
        <v>0.004844353296</v>
      </c>
      <c r="I28" s="45">
        <f>(SUMIFS(Data!$S$2:$S$51,Data!$G$2:$G$51,"animal_based_fat")+SUMIFS(Data!$T$2:$T$51,Data!$G$2:$G$51,"animal_based_fat"))/1000</f>
        <v>1.5010125</v>
      </c>
      <c r="J28" s="46">
        <f>IF((SUMIFS(Data!$S$2:$S$51,Data!$I$2:$I$51,"No")+SUMIFS(Data!$T$2:$T$51,Data!$I$2:$I$51,"No"))=0,"",I28*1000/(SUMIFS(Data!$S$2:$S$51,Data!$I$2:$I$51,"No")+SUMIFS(Data!$T$2:$T$51,Data!$I$2:$I$51,"No")))</f>
        <v>0.0008522217668</v>
      </c>
    </row>
    <row r="29" ht="15.75" customHeight="1">
      <c r="A29" s="17" t="s">
        <v>233</v>
      </c>
      <c r="B29" s="28">
        <f>(SUMIFS(Data!$AD$2:$AD$51,Data!$G$2:$G$51,"plant_based_fat"))/1000</f>
        <v>748.20852</v>
      </c>
      <c r="C29" s="32">
        <f>IF(SUMIFS(Data!$AD$2:$AD$51,Data!$I$2:$I$51,"No")=0,"",B29*1000/SUMIFS(Data!$AD$2:$AD$51,Data!$I$2:$I$51,"No"))</f>
        <v>0.02073728544</v>
      </c>
      <c r="D29" s="35">
        <v>0.03</v>
      </c>
      <c r="F29" s="36">
        <f>(SUMIFS(Data!$R$2:$R$51,Data!$G$2:$G$51,"plant_based_fat"))/1000</f>
        <v>748.20852</v>
      </c>
      <c r="G29" s="37">
        <f>IF(SUMIFS(Data!$R$2:$R$51,Data!$I$2:$I$51,"No")=0,"",F29*1000/SUMIFS(Data!$R$2:$R$51,Data!$I$2:$I$51,"No"))</f>
        <v>0.02414760977</v>
      </c>
      <c r="I29" s="45">
        <f>(SUMIFS(Data!$S$2:$S$51,Data!$G$2:$G$51,"plant_based_fat")+SUMIFS(Data!$T$2:$T$51,Data!$G$2:$G$51,"plant_based_fat"))/1000</f>
        <v>3.7410426</v>
      </c>
      <c r="J29" s="46">
        <f>IF((SUMIFS(Data!$S$2:$S$51,Data!$I$2:$I$51,"No")+SUMIFS(Data!$T$2:$T$51,Data!$I$2:$I$51,"No"))=0,"",I29*1000/(SUMIFS(Data!$S$2:$S$51,Data!$I$2:$I$51,"No")+SUMIFS(Data!$T$2:$T$51,Data!$I$2:$I$51,"No")))</f>
        <v>0.002124031568</v>
      </c>
    </row>
    <row r="30" ht="15.75" customHeight="1">
      <c r="A30" s="29" t="s">
        <v>237</v>
      </c>
      <c r="B30" s="30"/>
      <c r="C30" s="30"/>
      <c r="D30" s="30"/>
    </row>
    <row r="31" ht="15.75" customHeight="1">
      <c r="A31" s="31" t="s">
        <v>238</v>
      </c>
      <c r="B31" s="33">
        <f>(SUMIFS(Data!$AD$2:$AD$51,Data!$F$2:$F$51,"FG4"))/1000</f>
        <v>9000.99</v>
      </c>
      <c r="C31" s="34">
        <f>IF(SUMIFS(Data!$AD$2:$AD$51,Data!$I$2:$I$51,"No")=0,"",B31*1000/SUMIFS(Data!$AD$2:$AD$51,Data!$I$2:$I$51,"No"))</f>
        <v>0.2494706942</v>
      </c>
      <c r="D31" s="35">
        <v>0.38</v>
      </c>
      <c r="F31" s="36">
        <f>(SUMIFS(Data!$R$2:$R$51,Data!$F$2:$F$51,"FG4"))/1000</f>
        <v>9000.99</v>
      </c>
      <c r="G31" s="37">
        <f>IF(SUMIFS(Data!$R$2:$R$51,Data!$I$2:$I$51,"No")=0,"",F31*1000/SUMIFS(Data!$R$2:$R$51,Data!$I$2:$I$51,"No"))</f>
        <v>0.290497085</v>
      </c>
      <c r="I31" s="39">
        <f>(SUMIFS(Data!$S$2:$S$51,Data!$F$2:$F$51,"FG4")+SUMIFS(Data!$T$2:$T$51,Data!$F$2:$F$51,"FG4"))/1000</f>
        <v>95.410494</v>
      </c>
      <c r="J31" s="40">
        <f>IF((SUMIFS(Data!$S$2:$S$51,Data!$I$2:$I$51,"No")+SUMIFS(Data!$T$2:$T$51,Data!$I$2:$I$51,"No"))=0,"",I31*1000/(SUMIFS(Data!$S$2:$S$51,Data!$I$2:$I$51,"No")+SUMIFS(Data!$T$2:$T$51,Data!$I$2:$I$51,"No")))</f>
        <v>0.05417070129</v>
      </c>
    </row>
    <row r="32" ht="15.75" customHeight="1">
      <c r="A32" s="29" t="s">
        <v>245</v>
      </c>
      <c r="B32" s="30"/>
      <c r="C32" s="30"/>
      <c r="D32" s="30"/>
    </row>
    <row r="33" ht="15.75" customHeight="1">
      <c r="A33" s="17" t="s">
        <v>246</v>
      </c>
      <c r="B33" s="28">
        <f>(SUMIFS(Data!$AD$2:$AD$51,Data!$G$2:$G$51,"whole_grain"))/1000</f>
        <v>516.751125</v>
      </c>
      <c r="C33" s="32">
        <f>IF(SUMIFS(Data!$AD$2:$AD$51,Data!$I$2:$I$51,"No")=0,"",B33*1000/SUMIFS(Data!$AD$2:$AD$51,Data!$I$2:$I$51,"No"))</f>
        <v>0.01432223143</v>
      </c>
      <c r="D33" s="35">
        <v>0.18</v>
      </c>
      <c r="F33" s="36">
        <f>(SUMIFS(Data!$R$2:$R$51,Data!$G$2:$G$51,"whole_grain"))/1000</f>
        <v>516.751125</v>
      </c>
      <c r="G33" s="37">
        <f>IF(SUMIFS(Data!$R$2:$R$51,Data!$I$2:$I$51,"No")=0,"",F33*1000/SUMIFS(Data!$R$2:$R$51,Data!$I$2:$I$51,"No"))</f>
        <v>0.01667757608</v>
      </c>
      <c r="I33" s="45">
        <f>(SUMIFS(Data!$S$2:$S$51,Data!$G$2:$G$51,"whole_grain")+SUMIFS(Data!$T$2:$T$51,Data!$G$2:$G$51,"whole_grain"))/1000</f>
        <v>47.5411035</v>
      </c>
      <c r="J33" s="46">
        <f>IF((SUMIFS(Data!$S$2:$S$51,Data!$I$2:$I$51,"No")+SUMIFS(Data!$T$2:$T$51,Data!$I$2:$I$51,"No"))=0,"",I33*1000/(SUMIFS(Data!$S$2:$S$51,Data!$I$2:$I$51,"No")+SUMIFS(Data!$T$2:$T$51,Data!$I$2:$I$51,"No")))</f>
        <v>0.02699215577</v>
      </c>
    </row>
    <row r="34" ht="15.75" customHeight="1">
      <c r="A34" s="17" t="s">
        <v>262</v>
      </c>
      <c r="B34" s="28">
        <f>(SUMIFS(Data!$AD$2:$AD$51,Data!$G$2:$G$51,"refined_grain"))/1000</f>
        <v>2400.598</v>
      </c>
      <c r="C34" s="32">
        <f>IF(SUMIFS(Data!$AD$2:$AD$51,Data!$I$2:$I$51,"No")=0,"",B34*1000/SUMIFS(Data!$AD$2:$AD$51,Data!$I$2:$I$51,"No"))</f>
        <v>0.06653477556</v>
      </c>
      <c r="D34" s="35">
        <v>0.0</v>
      </c>
      <c r="F34" s="36">
        <f>(SUMIFS(Data!$R$2:$R$51,Data!$G$2:$G$51,"refined_grain"))/1000</f>
        <v>2400.598</v>
      </c>
      <c r="G34" s="37">
        <f>IF(SUMIFS(Data!$R$2:$R$51,Data!$I$2:$I$51,"No")=0,"",F34*1000/SUMIFS(Data!$R$2:$R$51,Data!$I$2:$I$51,"No"))</f>
        <v>0.07747666881</v>
      </c>
      <c r="I34" s="45">
        <f>(SUMIFS(Data!$S$2:$S$51,Data!$G$2:$G$51,"refined_grain")+SUMIFS(Data!$T$2:$T$51,Data!$G$2:$G$51,"refined_grain"))/1000</f>
        <v>234.947</v>
      </c>
      <c r="J34" s="46">
        <f>IF((SUMIFS(Data!$S$2:$S$51,Data!$I$2:$I$51,"No")+SUMIFS(Data!$T$2:$T$51,Data!$I$2:$I$51,"No"))=0,"",I34*1000/(SUMIFS(Data!$S$2:$S$51,Data!$I$2:$I$51,"No")+SUMIFS(Data!$T$2:$T$51,Data!$I$2:$I$51,"No")))</f>
        <v>0.1333945903</v>
      </c>
    </row>
    <row r="35" ht="15.75" customHeight="1">
      <c r="A35" s="29" t="s">
        <v>269</v>
      </c>
      <c r="B35" s="30"/>
      <c r="C35" s="30"/>
      <c r="D35" s="30"/>
    </row>
    <row r="36" ht="15.75" customHeight="1">
      <c r="A36" s="31" t="s">
        <v>271</v>
      </c>
      <c r="B36" s="33">
        <f>(SUMIFS(Data!$AD$2:$AD$51,Data!$F$2:$F$51,"FG6"))/1000</f>
        <v>2110.945</v>
      </c>
      <c r="C36" s="34">
        <f>IF(SUMIFS(Data!$AD$2:$AD$51,Data!$I$2:$I$51,"No")=0,"",B36*1000/SUMIFS(Data!$AD$2:$AD$51,Data!$I$2:$I$51,"No"))</f>
        <v>0.05850677698</v>
      </c>
      <c r="D36" s="35">
        <v>0.04</v>
      </c>
      <c r="F36" s="36">
        <f>(SUMIFS(Data!$R$2:$R$51,Data!$F$2:$F$51,"FG6"))/1000</f>
        <v>2110.945</v>
      </c>
      <c r="G36" s="37">
        <f>IF(SUMIFS(Data!$R$2:$R$51,Data!$I$2:$I$51,"No")=0,"",F36*1000/SUMIFS(Data!$R$2:$R$51,Data!$I$2:$I$51,"No"))</f>
        <v>0.06812843577</v>
      </c>
      <c r="I36" s="39">
        <f>(SUMIFS(Data!$S$2:$S$51,Data!$F$2:$F$51,"FG6")+SUMIFS(Data!$T$2:$T$51,Data!$F$2:$F$51,"FG6"))/1000</f>
        <v>44.9631285</v>
      </c>
      <c r="J36" s="40">
        <f>IF((SUMIFS(Data!$S$2:$S$51,Data!$I$2:$I$51,"No")+SUMIFS(Data!$T$2:$T$51,Data!$I$2:$I$51,"No"))=0,"",I36*1000/(SUMIFS(Data!$S$2:$S$51,Data!$I$2:$I$51,"No")+SUMIFS(Data!$T$2:$T$51,Data!$I$2:$I$51,"No")))</f>
        <v>0.02552847282</v>
      </c>
    </row>
    <row r="37" ht="15.75" customHeight="1">
      <c r="A37" s="29" t="s">
        <v>276</v>
      </c>
      <c r="B37" s="30"/>
      <c r="C37" s="30"/>
      <c r="D37" s="30"/>
    </row>
    <row r="38" ht="15.75" customHeight="1">
      <c r="A38" s="17" t="s">
        <v>157</v>
      </c>
      <c r="B38" s="28">
        <f>(SUMIFS(Data!$AD$2:$AD$51,Data!$F$2:$F$51,"FG7",Data!$H$2:$H$51,"plant_based"))/1000</f>
        <v>0</v>
      </c>
      <c r="C38" s="32">
        <f>IF(SUMIFS(Data!$AD$2:$AD$51,Data!$I$2:$I$51,"No")=0,"",B38*1000/SUMIFS(Data!$AD$2:$AD$51,Data!$I$2:$I$51,"No"))</f>
        <v>0</v>
      </c>
      <c r="D38" s="44" t="s">
        <v>225</v>
      </c>
      <c r="F38" s="36">
        <f>(SUMIFS(Data!$R$2:$R$51,Data!$F$2:$F$51,"FG7",Data!$H$2:$H$51,"plant_based"))/1000</f>
        <v>0</v>
      </c>
      <c r="G38" s="37">
        <f>IF(SUMIFS(Data!$R$2:$R$51,Data!$I$2:$I$51,"No")=0,"",F38*1000/SUMIFS(Data!$R$2:$R$51,Data!$I$2:$I$51,"No"))</f>
        <v>0</v>
      </c>
      <c r="I38" s="45">
        <f>(SUMIFS(Data!$S$2:$S$51,Data!$F$2:$F$51,"FG7",Data!$H$2:$H$51,"plant_based")+SUMIFS(Data!$T$2:$T$51,Data!$F$2:$F$51,"FG7",Data!$H$2:$H$51,"plant_based"))/1000</f>
        <v>0</v>
      </c>
      <c r="J38" s="46">
        <f>IF((SUMIFS(Data!$S$2:$S$51,Data!$I$2:$I$51,"No")+SUMIFS(Data!$T$2:$T$51,Data!$I$2:$I$51,"No"))=0,"",I38*1000/(SUMIFS(Data!$S$2:$S$51,Data!$I$2:$I$51,"No")+SUMIFS(Data!$T$2:$T$51,Data!$I$2:$I$51,"No")))</f>
        <v>0</v>
      </c>
    </row>
    <row r="39" ht="15.75" customHeight="1">
      <c r="A39" s="17" t="s">
        <v>187</v>
      </c>
      <c r="B39" s="28">
        <f>(SUMIFS(Data!$AD$2:$AD$51,Data!$F$2:$F$51,"FG7",Data!$H$2:$H$51,"animal_based"))/1000</f>
        <v>1240.7495</v>
      </c>
      <c r="C39" s="32">
        <f>IF(SUMIFS(Data!$AD$2:$AD$51,Data!$I$2:$I$51,"No")=0,"",B39*1000/SUMIFS(Data!$AD$2:$AD$51,Data!$I$2:$I$51,"No"))</f>
        <v>0.03438851049</v>
      </c>
      <c r="D39" s="44" t="s">
        <v>225</v>
      </c>
      <c r="F39" s="36">
        <f>(SUMIFS(Data!$R$2:$R$51,Data!$F$2:$F$51,"FG7",Data!$H$2:$H$51,"animal_based"))/1000</f>
        <v>1240.7495</v>
      </c>
      <c r="G39" s="37">
        <f>IF(SUMIFS(Data!$R$2:$R$51,Data!$I$2:$I$51,"No")=0,"",F39*1000/SUMIFS(Data!$R$2:$R$51,Data!$I$2:$I$51,"No"))</f>
        <v>0.04004382995</v>
      </c>
      <c r="I39" s="45">
        <f>(SUMIFS(Data!$S$2:$S$51,Data!$F$2:$F$51,"FG7",Data!$H$2:$H$51,"animal_based")+SUMIFS(Data!$T$2:$T$51,Data!$F$2:$F$51,"FG7",Data!$H$2:$H$51,"animal_based"))/1000</f>
        <v>78.1672185</v>
      </c>
      <c r="J39" s="46">
        <f>IF((SUMIFS(Data!$S$2:$S$51,Data!$I$2:$I$51,"No")+SUMIFS(Data!$T$2:$T$51,Data!$I$2:$I$51,"No"))=0,"",I39*1000/(SUMIFS(Data!$S$2:$S$51,Data!$I$2:$I$51,"No")+SUMIFS(Data!$T$2:$T$51,Data!$I$2:$I$51,"No")))</f>
        <v>0.04438057981</v>
      </c>
    </row>
    <row r="40" ht="15.75" customHeight="1">
      <c r="A40" s="17" t="s">
        <v>313</v>
      </c>
      <c r="B40" s="28">
        <f>(SUMIFS(Data!$AD$2:$AD$51,Data!$F$2:$F$51,"FG7",Data!$H$2:$H$51,"not applicable"))/1000</f>
        <v>0</v>
      </c>
      <c r="C40" s="32">
        <f>IF(SUMIFS(Data!$AD$2:$AD$51,Data!$I$2:$I$51,"No")=0,"",B40*1000/SUMIFS(Data!$AD$2:$AD$51,Data!$I$2:$I$51,"No"))</f>
        <v>0</v>
      </c>
      <c r="D40" s="44" t="s">
        <v>167</v>
      </c>
      <c r="F40" s="36">
        <f>(SUMIFS(Data!$R$2:$R$51,Data!$F$2:$F$51,"FG7",Data!$H$2:$H$51,"not applicable"))/1000</f>
        <v>0</v>
      </c>
      <c r="G40" s="37">
        <f>IF(SUMIFS(Data!$R$2:$R$51,Data!$I$2:$I$51,"No")=0,"",F40*1000/SUMIFS(Data!$R$2:$R$51,Data!$I$2:$I$51,"No"))</f>
        <v>0</v>
      </c>
      <c r="I40" s="45">
        <f>(SUMIFS(Data!$S$2:$S$51,Data!$F$2:$F$51,"FG7",Data!$H$2:$H$51,"not applicable")+SUMIFS(Data!$T$2:$T$51,Data!$F$2:$F$51,"FG7",Data!$H$2:$H$51,"not applicable"))/1000</f>
        <v>0</v>
      </c>
      <c r="J40" s="46">
        <f>IF((SUMIFS(Data!$S$2:$S$51,Data!$I$2:$I$51,"No")+SUMIFS(Data!$T$2:$T$51,Data!$I$2:$I$51,"No"))=0,"",I40*1000/(SUMIFS(Data!$S$2:$S$51,Data!$I$2:$I$51,"No")+SUMIFS(Data!$T$2:$T$51,Data!$I$2:$I$51,"No")))</f>
        <v>0</v>
      </c>
    </row>
    <row r="41" ht="15.75" customHeight="1"/>
    <row r="42" ht="15.75" customHeight="1">
      <c r="A42" s="29" t="s">
        <v>332</v>
      </c>
      <c r="B42" s="30"/>
      <c r="C42" s="30"/>
      <c r="D42" s="30"/>
    </row>
    <row r="43" ht="15.75" customHeight="1">
      <c r="A43" s="17" t="s">
        <v>333</v>
      </c>
      <c r="C43" s="32">
        <f>IF(((SUMIFS(Data!$AD$2:$AD$51,Data!$G$2:$G$51,"legumes") + SUMIFS(Data!$AD$2:$AD$51,Data!$G$2:$G$51,"nuts") + SUMIFS(Data!$AD$2:$AD$51,Data!$G$2:$G$51,"seeds") + SUMIFS(Data!$AD$2:$AD$51,Data!$G$2:$G$51,"meat_egg_seafood_alternatives") + SUMIFS(Data!$AD$2:$AD$51,Data!$G$2:$G$51,"tofu_tempeh_seitan"))+(SUMIFS(Data!$AD$2:$AD$51,Data!$G$2:$G$51,"red_meat") + SUMIFS(Data!$AD$2:$AD$51,Data!$G$2:$G$51,"poultry") + SUMIFS(Data!$AD$2:$AD$51,Data!$G$2:$G$51,"seafood") + SUMIFS(Data!$AD$2:$AD$51,Data!$G$2:$G$51,"eggs") + SUMIFS(Data!$AD$2:$AD$51,Data!$G$2:$G$51,"other_animal")))=0,"",(SUMIFS(Data!$AD$2:$AD$51,Data!$G$2:$G$51,"legumes") + SUMIFS(Data!$AD$2:$AD$51,Data!$G$2:$G$51,"nuts") + SUMIFS(Data!$AD$2:$AD$51,Data!$G$2:$G$51,"seeds") + SUMIFS(Data!$AD$2:$AD$51,Data!$G$2:$G$51,"meat_egg_seafood_alternatives") + SUMIFS(Data!$AD$2:$AD$51,Data!$G$2:$G$51,"tofu_tempeh_seitan"))/((SUMIFS(Data!$AD$2:$AD$51,Data!$G$2:$G$51,"legumes") + SUMIFS(Data!$AD$2:$AD$51,Data!$G$2:$G$51,"nuts") + SUMIFS(Data!$AD$2:$AD$51,Data!$G$2:$G$51,"seeds") + SUMIFS(Data!$AD$2:$AD$51,Data!$G$2:$G$51,"meat_egg_seafood_alternatives") + SUMIFS(Data!$AD$2:$AD$51,Data!$G$2:$G$51,"tofu_tempeh_seitan"))+(SUMIFS(Data!$AD$2:$AD$51,Data!$G$2:$G$51,"red_meat") + SUMIFS(Data!$AD$2:$AD$51,Data!$G$2:$G$51,"poultry") + SUMIFS(Data!$AD$2:$AD$51,Data!$G$2:$G$51,"seafood") + SUMIFS(Data!$AD$2:$AD$51,Data!$G$2:$G$51,"eggs") + SUMIFS(Data!$AD$2:$AD$51,Data!$G$2:$G$51,"other_animal"))))</f>
        <v>0.1006281157</v>
      </c>
      <c r="D43" s="35">
        <v>0.6</v>
      </c>
    </row>
    <row r="44" ht="15.75" customHeight="1">
      <c r="A44" s="17" t="s">
        <v>343</v>
      </c>
      <c r="C44" s="32">
        <f>IF(((SUMIFS(Data!$AD$2:$AD$51,Data!$G$2:$G$51,"legumes") + SUMIFS(Data!$AD$2:$AD$51,Data!$G$2:$G$51,"nuts") + SUMIFS(Data!$AD$2:$AD$51,Data!$G$2:$G$51,"seeds") + SUMIFS(Data!$AD$2:$AD$51,Data!$G$2:$G$51,"meat_egg_seafood_alternatives") + SUMIFS(Data!$AD$2:$AD$51,Data!$G$2:$G$51,"tofu_tempeh_seitan"))+(SUMIFS(Data!$AD$2:$AD$51,Data!$G$2:$G$51,"red_meat") + SUMIFS(Data!$AD$2:$AD$51,Data!$G$2:$G$51,"poultry") + SUMIFS(Data!$AD$2:$AD$51,Data!$G$2:$G$51,"seafood") + SUMIFS(Data!$AD$2:$AD$51,Data!$G$2:$G$51,"eggs") + SUMIFS(Data!$AD$2:$AD$51,Data!$G$2:$G$51,"other_animal")))=0,"",(SUMIFS(Data!$AD$2:$AD$51,Data!$G$2:$G$51,"red_meat") + SUMIFS(Data!$AD$2:$AD$51,Data!$G$2:$G$51,"poultry") + SUMIFS(Data!$AD$2:$AD$51,Data!$G$2:$G$51,"seafood") + SUMIFS(Data!$AD$2:$AD$51,Data!$G$2:$G$51,"eggs") + SUMIFS(Data!$AD$2:$AD$51,Data!$G$2:$G$51,"other_animal"))/((SUMIFS(Data!$AD$2:$AD$51,Data!$G$2:$G$51,"legumes") + SUMIFS(Data!$AD$2:$AD$51,Data!$G$2:$G$51,"nuts") + SUMIFS(Data!$AD$2:$AD$51,Data!$G$2:$G$51,"seeds") + SUMIFS(Data!$AD$2:$AD$51,Data!$G$2:$G$51,"meat_egg_seafood_alternatives") + SUMIFS(Data!$AD$2:$AD$51,Data!$G$2:$G$51,"tofu_tempeh_seitan"))+(SUMIFS(Data!$AD$2:$AD$51,Data!$G$2:$G$51,"red_meat") + SUMIFS(Data!$AD$2:$AD$51,Data!$G$2:$G$51,"poultry") + SUMIFS(Data!$AD$2:$AD$51,Data!$G$2:$G$51,"seafood") + SUMIFS(Data!$AD$2:$AD$51,Data!$G$2:$G$51,"eggs") + SUMIFS(Data!$AD$2:$AD$51,Data!$G$2:$G$51,"other_animal"))))</f>
        <v>0.8993718843</v>
      </c>
      <c r="D44" s="35">
        <v>0.4</v>
      </c>
    </row>
    <row r="45" ht="15.75" customHeight="1">
      <c r="A45" s="29" t="s">
        <v>353</v>
      </c>
      <c r="B45" s="30"/>
      <c r="C45" s="30"/>
      <c r="D45" s="30"/>
    </row>
    <row r="46" ht="15.75" customHeight="1">
      <c r="A46" s="17" t="s">
        <v>333</v>
      </c>
      <c r="C46" s="32">
        <f>IF(((SUMIFS(Data!$AD$2:$AD$51,Data!$G$2:$G$51,"dairy_alternative_plant"))+(SUMIFS(Data!$AD$2:$AD$51,Data!$G$2:$G$51,"dairy_animal")))=0,"",(SUMIFS(Data!$AD$2:$AD$51,Data!$G$2:$G$51,"dairy_alternative_plant"))/((SUMIFS(Data!$AD$2:$AD$51,Data!$G$2:$G$51,"dairy_alternative_plant"))+(SUMIFS(Data!$AD$2:$AD$51,Data!$G$2:$G$51,"dairy_animal"))))</f>
        <v>0.01108133188</v>
      </c>
      <c r="D46" s="44" t="s">
        <v>225</v>
      </c>
    </row>
    <row r="47" ht="15.75" customHeight="1">
      <c r="A47" s="17" t="s">
        <v>343</v>
      </c>
      <c r="C47" s="32">
        <f>IF(((SUMIFS(Data!$AD$2:$AD$51,Data!$G$2:$G$51,"dairy_alternative_plant"))+(SUMIFS(Data!$AD$2:$AD$51,Data!$G$2:$G$51,"dairy_animal")))=0,"",(SUMIFS(Data!$AD$2:$AD$51,Data!$G$2:$G$51,"dairy_animal"))/((SUMIFS(Data!$AD$2:$AD$51,Data!$G$2:$G$51,"dairy_alternative_plant"))+(SUMIFS(Data!$AD$2:$AD$51,Data!$G$2:$G$51,"dairy_animal"))))</f>
        <v>0.9889186681</v>
      </c>
      <c r="D47" s="44" t="s">
        <v>225</v>
      </c>
    </row>
    <row r="48" ht="15.75" customHeight="1">
      <c r="A48" s="29" t="s">
        <v>356</v>
      </c>
      <c r="B48" s="30"/>
      <c r="C48" s="30"/>
      <c r="D48" s="30"/>
    </row>
    <row r="49" ht="15.75" customHeight="1">
      <c r="A49" s="17" t="s">
        <v>333</v>
      </c>
      <c r="C49" s="32">
        <f>IF((SUMIFS(Data!$AD$2:$AD$51,Data!$H$2:$H$51,"plant_based",Data!$I$2:$I$51,"No")+SUMIFS(Data!$AD$2:$AD$51,Data!$H$2:$H$51,"animal_based",Data!$I$2:$I$51,"No"))=0,"",(SUMIFS(Data!$AD$2:$AD$51,Data!$H$2:$H$51,"plant_based",Data!$I$2:$I$51,"No"))/(SUMIFS(Data!$AD$2:$AD$51,Data!$H$2:$H$51,"plant_based",Data!$I$2:$I$51,"No")+SUMIFS(Data!$AD$2:$AD$51,Data!$H$2:$H$51,"animal_based",Data!$I$2:$I$51,"No")))</f>
        <v>0.4245027079</v>
      </c>
      <c r="D49" s="35">
        <v>0.74</v>
      </c>
    </row>
    <row r="50" ht="15.75" customHeight="1">
      <c r="A50" s="17" t="s">
        <v>343</v>
      </c>
      <c r="C50" s="32">
        <f>IF((SUMIFS(Data!$AD$2:$AD$51,Data!$H$2:$H$51,"plant_based",Data!$I$2:$I$51,"No")+SUMIFS(Data!$AD$2:$AD$51,Data!$H$2:$H$51,"animal_based",Data!$I$2:$I$51,"No"))=0,"",(SUMIFS(Data!$AD$2:$AD$51,Data!$H$2:$H$51,"animal_based",Data!$I$2:$I$51,"No"))/(SUMIFS(Data!$AD$2:$AD$51,Data!$H$2:$H$51,"plant_based",Data!$I$2:$I$51,"No")+SUMIFS(Data!$AD$2:$AD$51,Data!$H$2:$H$51,"animal_based",Data!$I$2:$I$51,"No")))</f>
        <v>0.5754972921</v>
      </c>
      <c r="D50" s="35">
        <v>0.26</v>
      </c>
    </row>
    <row r="51" ht="15.75" customHeight="1"/>
    <row r="52" ht="21.75" customHeight="1">
      <c r="A52" s="26" t="s">
        <v>365</v>
      </c>
      <c r="B52" s="4"/>
      <c r="C52" s="4"/>
      <c r="D52" s="4"/>
      <c r="E52" s="4"/>
      <c r="F52" s="4"/>
      <c r="G52" s="4"/>
    </row>
    <row r="53" ht="15.75" customHeight="1"/>
    <row r="54" ht="15.75" customHeight="1">
      <c r="A54" s="31" t="s">
        <v>366</v>
      </c>
      <c r="C54" s="65">
        <f>IF(SUMIFS(Data!$AD$2:$AD$51,Data!$I$2:$I$51,"No")+SUMIFS(Data!$AD$2:$AD$51,Data!$I$2:$I$51,"Yes")=0,"",SUMIFS(Data!$AD$2:$AD$51,Data!$I$2:$I$51,"Yes")/(SUMIFS(Data!$AD$2:$AD$51,Data!$I$2:$I$51,"No")+SUMIFS(Data!$AD$2:$AD$51,Data!$I$2:$I$51,"Yes")))</f>
        <v>0.01774444241</v>
      </c>
    </row>
    <row r="55" ht="15.75" customHeight="1"/>
    <row r="56" ht="30.0" customHeight="1">
      <c r="A56" s="18" t="s">
        <v>368</v>
      </c>
      <c r="B56" s="20" t="s">
        <v>142</v>
      </c>
      <c r="C56" s="20" t="s">
        <v>154</v>
      </c>
    </row>
    <row r="57" ht="15.75" customHeight="1">
      <c r="A57" s="17" t="s">
        <v>369</v>
      </c>
      <c r="B57" s="28">
        <f>SUMIFS(Data!$R$2:$R$51,Data!$J$2:$J$51,"meat_based")/1000</f>
        <v>413.60812</v>
      </c>
      <c r="C57" s="32">
        <f>IF(SUMIFS(Data!$AD$2:$AD$51,Data!$I$2:$I$51,"Yes")=0,"",B57*1000/SUMIFS(Data!$AD$2:$AD$51,Data!$I$2:$I$51,"Yes"))</f>
        <v>0.6345713353</v>
      </c>
    </row>
    <row r="58" ht="15.75" customHeight="1">
      <c r="A58" s="17" t="s">
        <v>371</v>
      </c>
      <c r="B58" s="28">
        <f>SUMIFS(Data!$R$2:$R$51,Data!$J$2:$J$51,"seafood_based")/1000</f>
        <v>54.9112</v>
      </c>
      <c r="C58" s="32">
        <f>IF(SUMIFS(Data!$AD$2:$AD$51,Data!$I$2:$I$51,"Yes")=0,"",B58*1000/SUMIFS(Data!$AD$2:$AD$51,Data!$I$2:$I$51,"Yes"))</f>
        <v>0.08424658952</v>
      </c>
    </row>
    <row r="59" ht="15.75" customHeight="1">
      <c r="A59" s="17" t="s">
        <v>373</v>
      </c>
      <c r="B59" s="28">
        <f>SUMIFS(Data!$R$2:$R$51,Data!$J$2:$J$51,"vegetarian")/1000</f>
        <v>150.36255</v>
      </c>
      <c r="C59" s="32">
        <f>IF(SUMIFS(Data!$AD$2:$AD$51,Data!$I$2:$I$51,"Yes")=0,"",B59*1000/SUMIFS(Data!$AD$2:$AD$51,Data!$I$2:$I$51,"Yes"))</f>
        <v>0.2306912256</v>
      </c>
    </row>
    <row r="60" ht="15.75" customHeight="1">
      <c r="A60" s="17" t="s">
        <v>377</v>
      </c>
      <c r="B60" s="28">
        <f>SUMIFS(Data!$R$2:$R$51,Data!$J$2:$J$51,"vegan")/1000</f>
        <v>32.9095</v>
      </c>
      <c r="C60" s="32">
        <f>IF(SUMIFS(Data!$AD$2:$AD$51,Data!$I$2:$I$51,"Yes")=0,"",B60*1000/SUMIFS(Data!$AD$2:$AD$51,Data!$I$2:$I$51,"Yes"))</f>
        <v>0.05049084955</v>
      </c>
    </row>
    <row r="61" ht="15.75" customHeight="1">
      <c r="A61" s="31" t="s">
        <v>174</v>
      </c>
      <c r="B61" s="33">
        <f t="shared" ref="B61:C61" si="1">SUM(B57:B60)</f>
        <v>651.79137</v>
      </c>
      <c r="C61" s="34">
        <f t="shared" si="1"/>
        <v>1</v>
      </c>
    </row>
    <row r="62" ht="15.75" customHeight="1"/>
    <row r="63" ht="15.75" customHeight="1"/>
    <row r="64" ht="25.5" customHeight="1">
      <c r="A64" s="66" t="s">
        <v>381</v>
      </c>
    </row>
    <row r="65" ht="25.5" customHeight="1">
      <c r="A65" s="66" t="s">
        <v>382</v>
      </c>
    </row>
    <row r="66" ht="25.5" customHeight="1">
      <c r="A66" s="6" t="s">
        <v>383</v>
      </c>
    </row>
    <row r="67" ht="15.75" customHeight="1"/>
    <row r="68" ht="15.75" customHeight="1"/>
    <row r="69" ht="21.75" customHeight="1">
      <c r="A69" s="23" t="s">
        <v>384</v>
      </c>
      <c r="B69" s="4"/>
      <c r="C69" s="4"/>
      <c r="D69" s="4"/>
      <c r="E69" s="4"/>
      <c r="F69" s="4"/>
      <c r="G69" s="4"/>
    </row>
    <row r="70" ht="25.5" customHeight="1">
      <c r="A70" s="66" t="s">
        <v>385</v>
      </c>
    </row>
    <row r="71" ht="30.0" customHeight="1">
      <c r="A71" s="18" t="s">
        <v>250</v>
      </c>
      <c r="B71" s="20" t="s">
        <v>142</v>
      </c>
      <c r="C71" s="20" t="s">
        <v>145</v>
      </c>
      <c r="D71" s="20" t="s">
        <v>146</v>
      </c>
      <c r="E71" s="20" t="s">
        <v>147</v>
      </c>
      <c r="F71" s="20" t="s">
        <v>148</v>
      </c>
      <c r="G71" s="20" t="s">
        <v>149</v>
      </c>
    </row>
    <row r="72" ht="15.75" customHeight="1">
      <c r="A72" s="17" t="s">
        <v>386</v>
      </c>
      <c r="B72" s="28">
        <f>SUMIFS(Data!$R$2:$R$51,Data!$F$2:$F$51,"FG1")/1000</f>
        <v>3769.091644</v>
      </c>
      <c r="C72" s="28">
        <f t="shared" ref="C72:C78" si="2">D72+E72</f>
        <v>703.6532686</v>
      </c>
      <c r="D72" s="28">
        <f>SUMIFS(Data!$S$2:$S$51,Data!$F$2:$F$51,"FG1")/1000</f>
        <v>70.9465412</v>
      </c>
      <c r="E72" s="28">
        <f>SUMIFS(Data!$T$2:$T$51,Data!$F$2:$F$51,"FG1")/1000</f>
        <v>632.7067274</v>
      </c>
      <c r="F72" s="32">
        <f>IF(SUMIFS(Data!$R$2:$R$51,Data!$F$2:$F$51,"FG1",Data!$H$2:$H$51,"plant_based")+SUMIFS(Data!$R$2:$R$51,Data!$F$2:$F$51,"FG1",Data!$H$2:$H$51,"animal_based")=0,"",SUMIFS(Data!$R$2:$R$51,Data!$F$2:$F$51,"FG1",Data!$H$2:$H$51,"plant_based")/(SUMIFS(Data!$R$2:$R$51,Data!$F$2:$F$51,"FG1",Data!$H$2:$H$51,"plant_based")+SUMIFS(Data!$R$2:$R$51,Data!$F$2:$F$51,"FG1",Data!$H$2:$H$51,"animal_based")))</f>
        <v>0.09546828095</v>
      </c>
      <c r="G72" s="32">
        <f>IF(SUMIFS(Data!$R$2:$R$51,Data!$F$2:$F$51,"FG1",Data!$H$2:$H$51,"plant_based")+SUMIFS(Data!$R$2:$R$51,Data!$F$2:$F$51,"FG1",Data!$H$2:$H$51,"animal_based")=0,"",SUMIFS(Data!$R$2:$R$51,Data!$F$2:$F$51,"FG1",Data!$H$2:$H$51,"animal_based")/(SUMIFS(Data!$R$2:$R$51,Data!$F$2:$F$51,"FG1",Data!$H$2:$H$51,"plant_based")+SUMIFS(Data!$R$2:$R$51,Data!$F$2:$F$51,"FG1",Data!$H$2:$H$51,"animal_based")))</f>
        <v>0.904531719</v>
      </c>
    </row>
    <row r="73" ht="15.75" customHeight="1">
      <c r="A73" s="17" t="s">
        <v>387</v>
      </c>
      <c r="B73" s="28">
        <f>SUMIFS(Data!$R$2:$R$51,Data!$F$2:$F$51,"FG2")/1000</f>
        <v>11047.35092</v>
      </c>
      <c r="C73" s="28">
        <f t="shared" si="2"/>
        <v>551.369046</v>
      </c>
      <c r="D73" s="28">
        <f>SUMIFS(Data!$S$2:$S$51,Data!$F$2:$F$51,"FG2")/1000</f>
        <v>12.52195</v>
      </c>
      <c r="E73" s="28">
        <f>SUMIFS(Data!$T$2:$T$51,Data!$F$2:$F$51,"FG2")/1000</f>
        <v>538.847096</v>
      </c>
      <c r="F73" s="32">
        <f>IF(SUMIFS(Data!$R$2:$R$51,Data!$F$2:$F$51,"FG2",Data!$H$2:$H$51,"plant_based")+SUMIFS(Data!$R$2:$R$51,Data!$F$2:$F$51,"FG2",Data!$H$2:$H$51,"animal_based")=0,"",SUMIFS(Data!$R$2:$R$51,Data!$F$2:$F$51,"FG2",Data!$H$2:$H$51,"plant_based")/(SUMIFS(Data!$R$2:$R$51,Data!$F$2:$F$51,"FG2",Data!$H$2:$H$51,"plant_based")+SUMIFS(Data!$R$2:$R$51,Data!$F$2:$F$51,"FG2",Data!$H$2:$H$51,"animal_based")))</f>
        <v>0.01619256972</v>
      </c>
      <c r="G73" s="32">
        <f>IF(SUMIFS(Data!$R$2:$R$51,Data!$F$2:$F$51,"FG2",Data!$H$2:$H$51,"plant_based")+SUMIFS(Data!$R$2:$R$51,Data!$F$2:$F$51,"FG2",Data!$H$2:$H$51,"animal_based")=0,"",SUMIFS(Data!$R$2:$R$51,Data!$F$2:$F$51,"FG2",Data!$H$2:$H$51,"animal_based")/(SUMIFS(Data!$R$2:$R$51,Data!$F$2:$F$51,"FG2",Data!$H$2:$H$51,"plant_based")+SUMIFS(Data!$R$2:$R$51,Data!$F$2:$F$51,"FG2",Data!$H$2:$H$51,"animal_based")))</f>
        <v>0.9838074303</v>
      </c>
    </row>
    <row r="74" ht="15.75" customHeight="1">
      <c r="A74" s="17" t="s">
        <v>388</v>
      </c>
      <c r="B74" s="28">
        <f>SUMIFS(Data!$R$2:$R$51,Data!$F$2:$F$51,"FG3")/1000</f>
        <v>898.30977</v>
      </c>
      <c r="C74" s="28">
        <f t="shared" si="2"/>
        <v>5.2420551</v>
      </c>
      <c r="D74" s="28">
        <f>SUMIFS(Data!$S$2:$S$51,Data!$F$2:$F$51,"FG3")/1000</f>
        <v>3.7410426</v>
      </c>
      <c r="E74" s="28">
        <f>SUMIFS(Data!$T$2:$T$51,Data!$F$2:$F$51,"FG3")/1000</f>
        <v>1.5010125</v>
      </c>
      <c r="F74" s="32">
        <f>IF(SUMIFS(Data!$R$2:$R$51,Data!$F$2:$F$51,"FG3",Data!$H$2:$H$51,"plant_based")+SUMIFS(Data!$R$2:$R$51,Data!$F$2:$F$51,"FG3",Data!$H$2:$H$51,"animal_based")=0,"",SUMIFS(Data!$R$2:$R$51,Data!$F$2:$F$51,"FG3",Data!$H$2:$H$51,"plant_based")/(SUMIFS(Data!$R$2:$R$51,Data!$F$2:$F$51,"FG3",Data!$H$2:$H$51,"plant_based")+SUMIFS(Data!$R$2:$R$51,Data!$F$2:$F$51,"FG3",Data!$H$2:$H$51,"animal_based")))</f>
        <v>0.8329070272</v>
      </c>
      <c r="G74" s="32">
        <f>IF(SUMIFS(Data!$R$2:$R$51,Data!$F$2:$F$51,"FG3",Data!$H$2:$H$51,"plant_based")+SUMIFS(Data!$R$2:$R$51,Data!$F$2:$F$51,"FG3",Data!$H$2:$H$51,"animal_based")=0,"",SUMIFS(Data!$R$2:$R$51,Data!$F$2:$F$51,"FG3",Data!$H$2:$H$51,"animal_based")/(SUMIFS(Data!$R$2:$R$51,Data!$F$2:$F$51,"FG3",Data!$H$2:$H$51,"plant_based")+SUMIFS(Data!$R$2:$R$51,Data!$F$2:$F$51,"FG3",Data!$H$2:$H$51,"animal_based")))</f>
        <v>0.1670929728</v>
      </c>
    </row>
    <row r="75" ht="15.75" customHeight="1">
      <c r="A75" s="17" t="s">
        <v>389</v>
      </c>
      <c r="B75" s="28">
        <f>SUMIFS(Data!$R$2:$R$51,Data!$F$2:$F$51,"FG4")/1000</f>
        <v>9000.99</v>
      </c>
      <c r="C75" s="28">
        <f t="shared" si="2"/>
        <v>95.410494</v>
      </c>
      <c r="D75" s="28">
        <f>SUMIFS(Data!$S$2:$S$51,Data!$F$2:$F$51,"FG4")/1000</f>
        <v>95.410494</v>
      </c>
      <c r="E75" s="28">
        <f>SUMIFS(Data!$T$2:$T$51,Data!$F$2:$F$51,"FG4")/1000</f>
        <v>0</v>
      </c>
      <c r="F75" s="32">
        <f>IF(SUMIFS(Data!$R$2:$R$51,Data!$F$2:$F$51,"FG4",Data!$H$2:$H$51,"plant_based")+SUMIFS(Data!$R$2:$R$51,Data!$F$2:$F$51,"FG4",Data!$H$2:$H$51,"animal_based")=0,"",SUMIFS(Data!$R$2:$R$51,Data!$F$2:$F$51,"FG4",Data!$H$2:$H$51,"plant_based")/(SUMIFS(Data!$R$2:$R$51,Data!$F$2:$F$51,"FG4",Data!$H$2:$H$51,"plant_based")+SUMIFS(Data!$R$2:$R$51,Data!$F$2:$F$51,"FG4",Data!$H$2:$H$51,"animal_based")))</f>
        <v>1</v>
      </c>
      <c r="G75" s="32">
        <f>IF(SUMIFS(Data!$R$2:$R$51,Data!$F$2:$F$51,"FG4",Data!$H$2:$H$51,"plant_based")+SUMIFS(Data!$R$2:$R$51,Data!$F$2:$F$51,"FG4",Data!$H$2:$H$51,"animal_based")=0,"",SUMIFS(Data!$R$2:$R$51,Data!$F$2:$F$51,"FG4",Data!$H$2:$H$51,"animal_based")/(SUMIFS(Data!$R$2:$R$51,Data!$F$2:$F$51,"FG4",Data!$H$2:$H$51,"plant_based")+SUMIFS(Data!$R$2:$R$51,Data!$F$2:$F$51,"FG4",Data!$H$2:$H$51,"animal_based")))</f>
        <v>0</v>
      </c>
    </row>
    <row r="76" ht="15.75" customHeight="1">
      <c r="A76" s="17" t="s">
        <v>390</v>
      </c>
      <c r="B76" s="28">
        <f>SUMIFS(Data!$R$2:$R$51,Data!$F$2:$F$51,"FG5")/1000</f>
        <v>2917.349125</v>
      </c>
      <c r="C76" s="28">
        <f t="shared" si="2"/>
        <v>282.4881035</v>
      </c>
      <c r="D76" s="28">
        <f>SUMIFS(Data!$S$2:$S$51,Data!$F$2:$F$51,"FG5")/1000</f>
        <v>282.4881035</v>
      </c>
      <c r="E76" s="28">
        <f>SUMIFS(Data!$T$2:$T$51,Data!$F$2:$F$51,"FG5")/1000</f>
        <v>0</v>
      </c>
      <c r="F76" s="32">
        <f>IF(SUMIFS(Data!$R$2:$R$51,Data!$F$2:$F$51,"FG5",Data!$H$2:$H$51,"plant_based")+SUMIFS(Data!$R$2:$R$51,Data!$F$2:$F$51,"FG5",Data!$H$2:$H$51,"animal_based")=0,"",SUMIFS(Data!$R$2:$R$51,Data!$F$2:$F$51,"FG5",Data!$H$2:$H$51,"plant_based")/(SUMIFS(Data!$R$2:$R$51,Data!$F$2:$F$51,"FG5",Data!$H$2:$H$51,"plant_based")+SUMIFS(Data!$R$2:$R$51,Data!$F$2:$F$51,"FG5",Data!$H$2:$H$51,"animal_based")))</f>
        <v>1</v>
      </c>
      <c r="G76" s="32">
        <f>IF(SUMIFS(Data!$R$2:$R$51,Data!$F$2:$F$51,"FG5",Data!$H$2:$H$51,"plant_based")+SUMIFS(Data!$R$2:$R$51,Data!$F$2:$F$51,"FG5",Data!$H$2:$H$51,"animal_based")=0,"",SUMIFS(Data!$R$2:$R$51,Data!$F$2:$F$51,"FG5",Data!$H$2:$H$51,"animal_based")/(SUMIFS(Data!$R$2:$R$51,Data!$F$2:$F$51,"FG5",Data!$H$2:$H$51,"plant_based")+SUMIFS(Data!$R$2:$R$51,Data!$F$2:$F$51,"FG5",Data!$H$2:$H$51,"animal_based")))</f>
        <v>0</v>
      </c>
    </row>
    <row r="77" ht="15.75" customHeight="1">
      <c r="A77" s="17" t="s">
        <v>391</v>
      </c>
      <c r="B77" s="28">
        <f>SUMIFS(Data!$R$2:$R$51,Data!$F$2:$F$51,"FG6")/1000</f>
        <v>2110.945</v>
      </c>
      <c r="C77" s="28">
        <f t="shared" si="2"/>
        <v>44.9631285</v>
      </c>
      <c r="D77" s="28">
        <f>SUMIFS(Data!$S$2:$S$51,Data!$F$2:$F$51,"FG6")/1000</f>
        <v>44.9631285</v>
      </c>
      <c r="E77" s="28">
        <f>SUMIFS(Data!$T$2:$T$51,Data!$F$2:$F$51,"FG6")/1000</f>
        <v>0</v>
      </c>
      <c r="F77" s="32">
        <f>IF(SUMIFS(Data!$R$2:$R$51,Data!$F$2:$F$51,"FG6",Data!$H$2:$H$51,"plant_based")+SUMIFS(Data!$R$2:$R$51,Data!$F$2:$F$51,"FG6",Data!$H$2:$H$51,"animal_based")=0,"",SUMIFS(Data!$R$2:$R$51,Data!$F$2:$F$51,"FG6",Data!$H$2:$H$51,"plant_based")/(SUMIFS(Data!$R$2:$R$51,Data!$F$2:$F$51,"FG6",Data!$H$2:$H$51,"plant_based")+SUMIFS(Data!$R$2:$R$51,Data!$F$2:$F$51,"FG6",Data!$H$2:$H$51,"animal_based")))</f>
        <v>1</v>
      </c>
      <c r="G77" s="32">
        <f>IF(SUMIFS(Data!$R$2:$R$51,Data!$F$2:$F$51,"FG6",Data!$H$2:$H$51,"plant_based")+SUMIFS(Data!$R$2:$R$51,Data!$F$2:$F$51,"FG6",Data!$H$2:$H$51,"animal_based")=0,"",SUMIFS(Data!$R$2:$R$51,Data!$F$2:$F$51,"FG6",Data!$H$2:$H$51,"animal_based")/(SUMIFS(Data!$R$2:$R$51,Data!$F$2:$F$51,"FG6",Data!$H$2:$H$51,"plant_based")+SUMIFS(Data!$R$2:$R$51,Data!$F$2:$F$51,"FG6",Data!$H$2:$H$51,"animal_based")))</f>
        <v>0</v>
      </c>
    </row>
    <row r="78" ht="15.75" customHeight="1">
      <c r="A78" s="17" t="s">
        <v>392</v>
      </c>
      <c r="B78" s="28">
        <f>SUMIFS(Data!$R$2:$R$51,Data!$F$2:$F$51,"FG7")/1000</f>
        <v>1240.7495</v>
      </c>
      <c r="C78" s="28">
        <f t="shared" si="2"/>
        <v>78.1672185</v>
      </c>
      <c r="D78" s="28">
        <f>SUMIFS(Data!$S$2:$S$51,Data!$F$2:$F$51,"FG7")/1000</f>
        <v>54.8411279</v>
      </c>
      <c r="E78" s="28">
        <f>SUMIFS(Data!$T$2:$T$51,Data!$F$2:$F$51,"FG7")/1000</f>
        <v>23.3260906</v>
      </c>
      <c r="F78" s="32">
        <f>IF(SUMIFS(Data!$R$2:$R$51,Data!$F$2:$F$51,"FG7",Data!$H$2:$H$51,"plant_based")+SUMIFS(Data!$R$2:$R$51,Data!$F$2:$F$51,"FG7",Data!$H$2:$H$51,"animal_based")=0,"",SUMIFS(Data!$R$2:$R$51,Data!$F$2:$F$51,"FG7",Data!$H$2:$H$51,"plant_based")/(SUMIFS(Data!$R$2:$R$51,Data!$F$2:$F$51,"FG7",Data!$H$2:$H$51,"plant_based")+SUMIFS(Data!$R$2:$R$51,Data!$F$2:$F$51,"FG7",Data!$H$2:$H$51,"animal_based")))</f>
        <v>0</v>
      </c>
      <c r="G78" s="32">
        <f>IF(SUMIFS(Data!$R$2:$R$51,Data!$F$2:$F$51,"FG7",Data!$H$2:$H$51,"plant_based")+SUMIFS(Data!$R$2:$R$51,Data!$F$2:$F$51,"FG7",Data!$H$2:$H$51,"animal_based")=0,"",SUMIFS(Data!$R$2:$R$51,Data!$F$2:$F$51,"FG7",Data!$H$2:$H$51,"animal_based")/(SUMIFS(Data!$R$2:$R$51,Data!$F$2:$F$51,"FG7",Data!$H$2:$H$51,"plant_based")+SUMIFS(Data!$R$2:$R$51,Data!$F$2:$F$51,"FG7",Data!$H$2:$H$51,"animal_based")))</f>
        <v>1</v>
      </c>
    </row>
    <row r="79" ht="15.75" customHeight="1">
      <c r="A79" s="43" t="s">
        <v>174</v>
      </c>
      <c r="B79" s="56">
        <f t="shared" ref="B79:E79" si="3">SUM(B72:B78)</f>
        <v>30984.78596</v>
      </c>
      <c r="C79" s="56">
        <f t="shared" si="3"/>
        <v>1761.293314</v>
      </c>
      <c r="D79" s="56">
        <f t="shared" si="3"/>
        <v>564.9123877</v>
      </c>
      <c r="E79" s="56">
        <f t="shared" si="3"/>
        <v>1196.380926</v>
      </c>
      <c r="F79" s="57">
        <f>IF((SUMIFS(Data!$R$2:$R$51,Data!$F$2:$F$51,"FG1",Data!$H$2:$H$51,"plant_based")+SUMIFS(Data!$R$2:$R$51,Data!$F$2:$F$51,"FG2",Data!$H$2:$H$51,"plant_based")+SUMIFS(Data!$R$2:$R$51,Data!$F$2:$F$51,"FG3",Data!$H$2:$H$51,"plant_based")+SUMIFS(Data!$R$2:$R$51,Data!$F$2:$F$51,"FG4",Data!$H$2:$H$51,"plant_based")+SUMIFS(Data!$R$2:$R$51,Data!$F$2:$F$51,"FG5",Data!$H$2:$H$51,"plant_based")+SUMIFS(Data!$R$2:$R$51,Data!$F$2:$F$51,"FG6",Data!$H$2:$H$51,"plant_based")+SUMIFS(Data!$R$2:$R$51,Data!$F$2:$F$51,"FG7",Data!$H$2:$H$51,"plant_based"))+(SUMIFS(Data!$R$2:$R$51,Data!$F$2:$F$51,"FG1",Data!$H$2:$H$51,"animal_based")+SUMIFS(Data!$R$2:$R$51,Data!$F$2:$F$51,"FG2",Data!$H$2:$H$51,"animal_based")+SUMIFS(Data!$R$2:$R$51,Data!$F$2:$F$51,"FG3",Data!$H$2:$H$51,"animal_based")+SUMIFS(Data!$R$2:$R$51,Data!$F$2:$F$51,"FG4",Data!$H$2:$H$51,"animal_based")+SUMIFS(Data!$R$2:$R$51,Data!$F$2:$F$51,"FG5",Data!$H$2:$H$51,"animal_based")+SUMIFS(Data!$R$2:$R$51,Data!$F$2:$F$51,"FG6",Data!$H$2:$H$51,"animal_based")+SUMIFS(Data!$R$2:$R$51,Data!$F$2:$F$51,"FG7",Data!$H$2:$H$51,"animal_based"))=0,"",(SUMIFS(Data!$R$2:$R$51,Data!$F$2:$F$51,"FG1",Data!$H$2:$H$51,"plant_based")+SUMIFS(Data!$R$2:$R$51,Data!$F$2:$F$51,"FG2",Data!$H$2:$H$51,"plant_based")+SUMIFS(Data!$R$2:$R$51,Data!$F$2:$F$51,"FG3",Data!$H$2:$H$51,"plant_based")+SUMIFS(Data!$R$2:$R$51,Data!$F$2:$F$51,"FG4",Data!$H$2:$H$51,"plant_based")+SUMIFS(Data!$R$2:$R$51,Data!$F$2:$F$51,"FG5",Data!$H$2:$H$51,"plant_based")+SUMIFS(Data!$R$2:$R$51,Data!$F$2:$F$51,"FG6",Data!$H$2:$H$51,"plant_based")+SUMIFS(Data!$R$2:$R$51,Data!$F$2:$F$51,"FG7",Data!$H$2:$H$51,"plant_based"))/((SUMIFS(Data!$R$2:$R$51,Data!$F$2:$F$51,"FG1",Data!$H$2:$H$51,"plant_based")+SUMIFS(Data!$R$2:$R$51,Data!$F$2:$F$51,"FG2",Data!$H$2:$H$51,"plant_based")+SUMIFS(Data!$R$2:$R$51,Data!$F$2:$F$51,"FG3",Data!$H$2:$H$51,"plant_based")+SUMIFS(Data!$R$2:$R$51,Data!$F$2:$F$51,"FG4",Data!$H$2:$H$51,"plant_based")+SUMIFS(Data!$R$2:$R$51,Data!$F$2:$F$51,"FG5",Data!$H$2:$H$51,"plant_based")+SUMIFS(Data!$R$2:$R$51,Data!$F$2:$F$51,"FG6",Data!$H$2:$H$51,"plant_based")+SUMIFS(Data!$R$2:$R$51,Data!$F$2:$F$51,"FG7",Data!$H$2:$H$51,"plant_based"))+(SUMIFS(Data!$R$2:$R$51,Data!$F$2:$F$51,"FG1",Data!$H$2:$H$51,"animal_based")+SUMIFS(Data!$R$2:$R$51,Data!$F$2:$F$51,"FG2",Data!$H$2:$H$51,"animal_based")+SUMIFS(Data!$R$2:$R$51,Data!$F$2:$F$51,"FG3",Data!$H$2:$H$51,"animal_based")+SUMIFS(Data!$R$2:$R$51,Data!$F$2:$F$51,"FG4",Data!$H$2:$H$51,"animal_based")+SUMIFS(Data!$R$2:$R$51,Data!$F$2:$F$51,"FG5",Data!$H$2:$H$51,"animal_based")+SUMIFS(Data!$R$2:$R$51,Data!$F$2:$F$51,"FG6",Data!$H$2:$H$51,"animal_based")+SUMIFS(Data!$R$2:$R$51,Data!$F$2:$F$51,"FG7",Data!$H$2:$H$51,"animal_based"))))</f>
        <v>0.4943137695</v>
      </c>
      <c r="G79" s="57">
        <f>IF((SUMIFS(Data!$R$2:$R$51,Data!$F$2:$F$51,"FG1",Data!$H$2:$H$51,"plant_based")+SUMIFS(Data!$R$2:$R$51,Data!$F$2:$F$51,"FG2",Data!$H$2:$H$51,"plant_based")+SUMIFS(Data!$R$2:$R$51,Data!$F$2:$F$51,"FG3",Data!$H$2:$H$51,"plant_based")+SUMIFS(Data!$R$2:$R$51,Data!$F$2:$F$51,"FG4",Data!$H$2:$H$51,"plant_based")+SUMIFS(Data!$R$2:$R$51,Data!$F$2:$F$51,"FG5",Data!$H$2:$H$51,"plant_based")+SUMIFS(Data!$R$2:$R$51,Data!$F$2:$F$51,"FG6",Data!$H$2:$H$51,"plant_based")+SUMIFS(Data!$R$2:$R$51,Data!$F$2:$F$51,"FG7",Data!$H$2:$H$51,"plant_based"))+(SUMIFS(Data!$R$2:$R$51,Data!$F$2:$F$51,"FG1",Data!$H$2:$H$51,"animal_based")+SUMIFS(Data!$R$2:$R$51,Data!$F$2:$F$51,"FG2",Data!$H$2:$H$51,"animal_based")+SUMIFS(Data!$R$2:$R$51,Data!$F$2:$F$51,"FG3",Data!$H$2:$H$51,"animal_based")+SUMIFS(Data!$R$2:$R$51,Data!$F$2:$F$51,"FG4",Data!$H$2:$H$51,"animal_based")+SUMIFS(Data!$R$2:$R$51,Data!$F$2:$F$51,"FG5",Data!$H$2:$H$51,"animal_based")+SUMIFS(Data!$R$2:$R$51,Data!$F$2:$F$51,"FG6",Data!$H$2:$H$51,"animal_based")+SUMIFS(Data!$R$2:$R$51,Data!$F$2:$F$51,"FG7",Data!$H$2:$H$51,"animal_based"))=0,"",(SUMIFS(Data!$R$2:$R$51,Data!$F$2:$F$51,"FG1",Data!$H$2:$H$51,"animal_based")+SUMIFS(Data!$R$2:$R$51,Data!$F$2:$F$51,"FG2",Data!$H$2:$H$51,"animal_based")+SUMIFS(Data!$R$2:$R$51,Data!$F$2:$F$51,"FG3",Data!$H$2:$H$51,"animal_based")+SUMIFS(Data!$R$2:$R$51,Data!$F$2:$F$51,"FG4",Data!$H$2:$H$51,"animal_based")+SUMIFS(Data!$R$2:$R$51,Data!$F$2:$F$51,"FG5",Data!$H$2:$H$51,"animal_based")+SUMIFS(Data!$R$2:$R$51,Data!$F$2:$F$51,"FG6",Data!$H$2:$H$51,"animal_based")+SUMIFS(Data!$R$2:$R$51,Data!$F$2:$F$51,"FG7",Data!$H$2:$H$51,"animal_based"))/((SUMIFS(Data!$R$2:$R$51,Data!$F$2:$F$51,"FG1",Data!$H$2:$H$51,"plant_based")+SUMIFS(Data!$R$2:$R$51,Data!$F$2:$F$51,"FG2",Data!$H$2:$H$51,"plant_based")+SUMIFS(Data!$R$2:$R$51,Data!$F$2:$F$51,"FG3",Data!$H$2:$H$51,"plant_based")+SUMIFS(Data!$R$2:$R$51,Data!$F$2:$F$51,"FG4",Data!$H$2:$H$51,"plant_based")+SUMIFS(Data!$R$2:$R$51,Data!$F$2:$F$51,"FG5",Data!$H$2:$H$51,"plant_based")+SUMIFS(Data!$R$2:$R$51,Data!$F$2:$F$51,"FG6",Data!$H$2:$H$51,"plant_based")+SUMIFS(Data!$R$2:$R$51,Data!$F$2:$F$51,"FG7",Data!$H$2:$H$51,"plant_based"))+(SUMIFS(Data!$R$2:$R$51,Data!$F$2:$F$51,"FG1",Data!$H$2:$H$51,"animal_based")+SUMIFS(Data!$R$2:$R$51,Data!$F$2:$F$51,"FG2",Data!$H$2:$H$51,"animal_based")+SUMIFS(Data!$R$2:$R$51,Data!$F$2:$F$51,"FG3",Data!$H$2:$H$51,"animal_based")+SUMIFS(Data!$R$2:$R$51,Data!$F$2:$F$51,"FG4",Data!$H$2:$H$51,"animal_based")+SUMIFS(Data!$R$2:$R$51,Data!$F$2:$F$51,"FG5",Data!$H$2:$H$51,"animal_based")+SUMIFS(Data!$R$2:$R$51,Data!$F$2:$F$51,"FG6",Data!$H$2:$H$51,"animal_based")+SUMIFS(Data!$R$2:$R$51,Data!$F$2:$F$51,"FG7",Data!$H$2:$H$51,"animal_based"))))</f>
        <v>0.5056862305</v>
      </c>
    </row>
    <row r="80" ht="15.75" customHeight="1"/>
    <row r="81" ht="15.75" customHeight="1">
      <c r="A81" s="31" t="s">
        <v>393</v>
      </c>
    </row>
    <row r="82" ht="30.0" customHeight="1">
      <c r="A82" s="18"/>
      <c r="B82" s="20" t="s">
        <v>142</v>
      </c>
      <c r="C82" s="20" t="s">
        <v>145</v>
      </c>
      <c r="D82" s="20" t="s">
        <v>146</v>
      </c>
      <c r="E82" s="20" t="s">
        <v>147</v>
      </c>
      <c r="F82" s="20" t="s">
        <v>148</v>
      </c>
      <c r="G82" s="20" t="s">
        <v>149</v>
      </c>
    </row>
    <row r="83" ht="15.75" customHeight="1">
      <c r="A83" s="17" t="s">
        <v>394</v>
      </c>
      <c r="B83" s="28">
        <f>SUMIFS(Data!$R$2:$R$51,Data!$I$2:$I$51,"Yes")/1000</f>
        <v>651.79137</v>
      </c>
      <c r="C83" s="28">
        <f t="shared" ref="C83:C84" si="4">D83+E83</f>
        <v>126.6501648</v>
      </c>
      <c r="D83" s="28">
        <f>SUMIFS(Data!$S$2:$S$51,Data!$I$2:$I$51,"Yes")/1000</f>
        <v>61.91849934</v>
      </c>
      <c r="E83" s="28">
        <f>SUMIFS(Data!$T$2:$T$51,Data!$I$2:$I$51,"Yes")/1000</f>
        <v>64.73166546</v>
      </c>
      <c r="F83" s="32" t="str">
        <f>IF(SUMIFS(Data!$R$2:$R$51,Data!$I$2:$I$51,"Yes",Data!$H$2:$H$51,"plant_based")+SUMIFS(Data!$R$2:$R$51,Data!$I$2:$I$51,"Yes",Data!$H$2:$H$51,"animal_based")=0,"",SUMIFS(Data!$R$2:$R$51,Data!$I$2:$I$51,"Yes",Data!$H$2:$H$51,"plant_based")/(SUMIFS(Data!$R$2:$R$51,Data!$I$2:$I$51,"Yes",Data!$H$2:$H$51,"plant_based")+SUMIFS(Data!$R$2:$R$51,Data!$I$2:$I$51,"Yes",Data!$H$2:$H$51,"animal_based")))</f>
        <v/>
      </c>
      <c r="G83" s="32" t="str">
        <f>IF(SUMIFS(Data!$R$2:$R$51,Data!$I$2:$I$51,"Yes",Data!$H$2:$H$51,"plant_based")+SUMIFS(Data!$R$2:$R$51,Data!$I$2:$I$51,"Yes",Data!$H$2:$H$51,"animal_based")=0,"",SUMIFS(Data!$R$2:$R$51,Data!$I$2:$I$51,"Yes",Data!$H$2:$H$51,"animal_based")/(SUMIFS(Data!$R$2:$R$51,Data!$I$2:$I$51,"Yes",Data!$H$2:$H$51,"plant_based")+SUMIFS(Data!$R$2:$R$51,Data!$I$2:$I$51,"Yes",Data!$H$2:$H$51,"animal_based")))</f>
        <v/>
      </c>
    </row>
    <row r="84" ht="15.75" customHeight="1">
      <c r="A84" s="17" t="s">
        <v>395</v>
      </c>
      <c r="B84" s="28">
        <f>SUMIFS(Data!$R$2:$R$51,Data!$I$2:$I$51,"outside WWF scope")/1000</f>
        <v>8363.42052</v>
      </c>
      <c r="C84" s="28">
        <f t="shared" si="4"/>
        <v>91.737669</v>
      </c>
      <c r="D84" s="28">
        <f>SUMIFS(Data!$S$2:$S$51,Data!$I$2:$I$51,"outside WWF scope")/1000</f>
        <v>91.737669</v>
      </c>
      <c r="E84" s="28">
        <f>SUMIFS(Data!$T$2:$T$51,Data!$I$2:$I$51,"outside WWF scope")/1000</f>
        <v>0</v>
      </c>
      <c r="F84" s="32" t="str">
        <f>IF(SUMIFS(Data!$R$2:$R$51,Data!$I$2:$I$51,"outside WWF scope",Data!$H$2:$H$51,"plant_based")+SUMIFS(Data!$R$2:$R$51,Data!$I$2:$I$51,"outside WWF scope",Data!$H$2:$H$51,"animal_based")=0,"",SUMIFS(Data!$R$2:$R$51,Data!$I$2:$I$51,"outside WWF scope",Data!$H$2:$H$51,"plant_based")/(SUMIFS(Data!$R$2:$R$51,Data!$I$2:$I$51,"outside WWF scope",Data!$H$2:$H$51,"plant_based")+SUMIFS(Data!$R$2:$R$51,Data!$I$2:$I$51,"outside WWF scope",Data!$H$2:$H$51,"animal_based")))</f>
        <v/>
      </c>
      <c r="G84" s="32" t="str">
        <f>IF(SUMIFS(Data!$R$2:$R$51,Data!$I$2:$I$51,"outside WWF scope",Data!$H$2:$H$51,"plant_based")+SUMIFS(Data!$R$2:$R$51,Data!$I$2:$I$51,"outside WWF scope",Data!$H$2:$H$51,"animal_based")=0,"",SUMIFS(Data!$R$2:$R$51,Data!$I$2:$I$51,"outside WWF scope",Data!$H$2:$H$51,"animal_based")/(SUMIFS(Data!$R$2:$R$51,Data!$I$2:$I$51,"outside WWF scope",Data!$H$2:$H$51,"plant_based")+SUMIFS(Data!$R$2:$R$51,Data!$I$2:$I$51,"outside WWF scope",Data!$H$2:$H$51,"animal_based")))</f>
        <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5">
    <mergeCell ref="F9:G9"/>
    <mergeCell ref="A52:G52"/>
    <mergeCell ref="A54:B54"/>
    <mergeCell ref="A64:G64"/>
    <mergeCell ref="A65:G65"/>
    <mergeCell ref="A66:G66"/>
    <mergeCell ref="A69:G69"/>
    <mergeCell ref="A70:G70"/>
    <mergeCell ref="A1:G1"/>
    <mergeCell ref="B3:G3"/>
    <mergeCell ref="B4:G4"/>
    <mergeCell ref="B5:G5"/>
    <mergeCell ref="A7:J7"/>
    <mergeCell ref="B9:C9"/>
    <mergeCell ref="I9:J9"/>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0"/>
    <col customWidth="1" min="2" max="7" width="15.0"/>
  </cols>
  <sheetData>
    <row r="1" ht="25.5" customHeight="1">
      <c r="A1" s="23" t="s">
        <v>133</v>
      </c>
      <c r="B1" s="4"/>
      <c r="C1" s="4"/>
      <c r="D1" s="4"/>
      <c r="E1" s="4"/>
      <c r="F1" s="4"/>
      <c r="G1" s="4"/>
    </row>
    <row r="3" ht="21.75" customHeight="1">
      <c r="A3" s="24" t="s">
        <v>135</v>
      </c>
      <c r="B3" s="4"/>
      <c r="C3" s="4"/>
      <c r="D3" s="4"/>
      <c r="E3" s="4"/>
      <c r="F3" s="4"/>
      <c r="G3" s="4"/>
    </row>
    <row r="5" ht="30.0" customHeight="1">
      <c r="A5" s="18" t="s">
        <v>140</v>
      </c>
      <c r="B5" s="20" t="s">
        <v>142</v>
      </c>
      <c r="C5" s="20" t="s">
        <v>145</v>
      </c>
      <c r="D5" s="20" t="s">
        <v>146</v>
      </c>
      <c r="E5" s="20" t="s">
        <v>147</v>
      </c>
      <c r="F5" s="20" t="s">
        <v>148</v>
      </c>
      <c r="G5" s="20" t="s">
        <v>149</v>
      </c>
    </row>
    <row r="6">
      <c r="A6" s="17" t="s">
        <v>150</v>
      </c>
      <c r="B6" s="28">
        <f>SUMIFS(Data!$R$2:$R$51,Data!$G$2:$G$51,"red_meat")/1000</f>
        <v>131.564</v>
      </c>
      <c r="C6" s="28">
        <f t="shared" ref="C6:C21" si="1">D6+E6</f>
        <v>26.3128</v>
      </c>
      <c r="D6" s="28">
        <f>SUMIFS(Data!$S$2:$S$51,Data!$G$2:$G$51,"red_meat")/1000</f>
        <v>0</v>
      </c>
      <c r="E6" s="28">
        <f>SUMIFS(Data!$T$2:$T$51,Data!$G$2:$G$51,"red_meat")/1000</f>
        <v>26.3128</v>
      </c>
      <c r="F6" s="32">
        <f>IF(SUMIFS(Data!$R$2:$R$51,Data!$G$2:$G$51,"red_meat",Data!$H$2:$H$51,"plant_based")+SUMIFS(Data!$R$2:$R$51,Data!$G$2:$G$51,"red_meat",Data!$H$2:$H$51,"animal_based")=0,"",SUMIFS(Data!$R$2:$R$51,Data!$G$2:$G$51,"red_meat",Data!$H$2:$H$51,"plant_based")/(SUMIFS(Data!$R$2:$R$51,Data!$G$2:$G$51,"red_meat",Data!$H$2:$H$51,"plant_based")+SUMIFS(Data!$R$2:$R$51,Data!$G$2:$G$51,"red_meat",Data!$H$2:$H$51,"animal_based")))</f>
        <v>0</v>
      </c>
      <c r="G6" s="32">
        <f>IF(SUMIFS(Data!$R$2:$R$51,Data!$G$2:$G$51,"red_meat",Data!$H$2:$H$51,"plant_based")+SUMIFS(Data!$R$2:$R$51,Data!$G$2:$G$51,"red_meat",Data!$H$2:$H$51,"animal_based")=0,"",SUMIFS(Data!$R$2:$R$51,Data!$G$2:$G$51,"red_meat",Data!$H$2:$H$51,"animal_based")/(SUMIFS(Data!$R$2:$R$51,Data!$G$2:$G$51,"red_meat",Data!$H$2:$H$51,"plant_based")+SUMIFS(Data!$R$2:$R$51,Data!$G$2:$G$51,"red_meat",Data!$H$2:$H$51,"animal_based")))</f>
        <v>1</v>
      </c>
    </row>
    <row r="7">
      <c r="A7" s="17" t="s">
        <v>158</v>
      </c>
      <c r="B7" s="28">
        <f>SUMIFS(Data!$R$2:$R$51,Data!$G$2:$G$51,"poultry")/1000</f>
        <v>1040.133</v>
      </c>
      <c r="C7" s="28">
        <f t="shared" si="1"/>
        <v>219.850272</v>
      </c>
      <c r="D7" s="28">
        <f>SUMIFS(Data!$S$2:$S$51,Data!$G$2:$G$51,"poultry")/1000</f>
        <v>0</v>
      </c>
      <c r="E7" s="28">
        <f>SUMIFS(Data!$T$2:$T$51,Data!$G$2:$G$51,"poultry")/1000</f>
        <v>219.850272</v>
      </c>
      <c r="F7" s="32">
        <f>IF(SUMIFS(Data!$R$2:$R$51,Data!$G$2:$G$51,"poultry",Data!$H$2:$H$51,"plant_based")+SUMIFS(Data!$R$2:$R$51,Data!$G$2:$G$51,"poultry",Data!$H$2:$H$51,"animal_based")=0,"",SUMIFS(Data!$R$2:$R$51,Data!$G$2:$G$51,"poultry",Data!$H$2:$H$51,"plant_based")/(SUMIFS(Data!$R$2:$R$51,Data!$G$2:$G$51,"poultry",Data!$H$2:$H$51,"plant_based")+SUMIFS(Data!$R$2:$R$51,Data!$G$2:$G$51,"poultry",Data!$H$2:$H$51,"animal_based")))</f>
        <v>0</v>
      </c>
      <c r="G7" s="32">
        <f>IF(SUMIFS(Data!$R$2:$R$51,Data!$G$2:$G$51,"poultry",Data!$H$2:$H$51,"plant_based")+SUMIFS(Data!$R$2:$R$51,Data!$G$2:$G$51,"poultry",Data!$H$2:$H$51,"animal_based")=0,"",SUMIFS(Data!$R$2:$R$51,Data!$G$2:$G$51,"poultry",Data!$H$2:$H$51,"animal_based")/(SUMIFS(Data!$R$2:$R$51,Data!$G$2:$G$51,"poultry",Data!$H$2:$H$51,"plant_based")+SUMIFS(Data!$R$2:$R$51,Data!$G$2:$G$51,"poultry",Data!$H$2:$H$51,"animal_based")))</f>
        <v>1</v>
      </c>
    </row>
    <row r="8">
      <c r="A8" s="17" t="s">
        <v>165</v>
      </c>
      <c r="B8" s="28">
        <f>SUMIFS(Data!$R$2:$R$51,Data!$G$2:$G$51,"seafood")/1000</f>
        <v>774.237</v>
      </c>
      <c r="C8" s="28">
        <f t="shared" si="1"/>
        <v>174.06894</v>
      </c>
      <c r="D8" s="28">
        <f>SUMIFS(Data!$S$2:$S$51,Data!$G$2:$G$51,"seafood")/1000</f>
        <v>0</v>
      </c>
      <c r="E8" s="28">
        <f>SUMIFS(Data!$T$2:$T$51,Data!$G$2:$G$51,"seafood")/1000</f>
        <v>174.06894</v>
      </c>
      <c r="F8" s="32">
        <f>IF(SUMIFS(Data!$R$2:$R$51,Data!$G$2:$G$51,"seafood",Data!$H$2:$H$51,"plant_based")+SUMIFS(Data!$R$2:$R$51,Data!$G$2:$G$51,"seafood",Data!$H$2:$H$51,"animal_based")=0,"",SUMIFS(Data!$R$2:$R$51,Data!$G$2:$G$51,"seafood",Data!$H$2:$H$51,"plant_based")/(SUMIFS(Data!$R$2:$R$51,Data!$G$2:$G$51,"seafood",Data!$H$2:$H$51,"plant_based")+SUMIFS(Data!$R$2:$R$51,Data!$G$2:$G$51,"seafood",Data!$H$2:$H$51,"animal_based")))</f>
        <v>0</v>
      </c>
      <c r="G8" s="32">
        <f>IF(SUMIFS(Data!$R$2:$R$51,Data!$G$2:$G$51,"seafood",Data!$H$2:$H$51,"plant_based")+SUMIFS(Data!$R$2:$R$51,Data!$G$2:$G$51,"seafood",Data!$H$2:$H$51,"animal_based")=0,"",SUMIFS(Data!$R$2:$R$51,Data!$G$2:$G$51,"seafood",Data!$H$2:$H$51,"animal_based")/(SUMIFS(Data!$R$2:$R$51,Data!$G$2:$G$51,"seafood",Data!$H$2:$H$51,"plant_based")+SUMIFS(Data!$R$2:$R$51,Data!$G$2:$G$51,"seafood",Data!$H$2:$H$51,"animal_based")))</f>
        <v>1</v>
      </c>
    </row>
    <row r="9">
      <c r="A9" s="17" t="s">
        <v>171</v>
      </c>
      <c r="B9" s="28">
        <f>SUMIFS(Data!$R$2:$R$51,Data!$G$2:$G$51,"eggs")/1000</f>
        <v>1434.487054</v>
      </c>
      <c r="C9" s="28">
        <f t="shared" si="1"/>
        <v>209.4158442</v>
      </c>
      <c r="D9" s="28">
        <f>SUMIFS(Data!$S$2:$S$51,Data!$G$2:$G$51,"eggs")/1000</f>
        <v>0</v>
      </c>
      <c r="E9" s="28">
        <f>SUMIFS(Data!$T$2:$T$51,Data!$G$2:$G$51,"eggs")/1000</f>
        <v>209.4158442</v>
      </c>
      <c r="F9" s="32">
        <f>IF(SUMIFS(Data!$R$2:$R$51,Data!$G$2:$G$51,"eggs",Data!$H$2:$H$51,"plant_based")+SUMIFS(Data!$R$2:$R$51,Data!$G$2:$G$51,"eggs",Data!$H$2:$H$51,"animal_based")=0,"",SUMIFS(Data!$R$2:$R$51,Data!$G$2:$G$51,"eggs",Data!$H$2:$H$51,"plant_based")/(SUMIFS(Data!$R$2:$R$51,Data!$G$2:$G$51,"eggs",Data!$H$2:$H$51,"plant_based")+SUMIFS(Data!$R$2:$R$51,Data!$G$2:$G$51,"eggs",Data!$H$2:$H$51,"animal_based")))</f>
        <v>0</v>
      </c>
      <c r="G9" s="32">
        <f>IF(SUMIFS(Data!$R$2:$R$51,Data!$G$2:$G$51,"eggs",Data!$H$2:$H$51,"plant_based")+SUMIFS(Data!$R$2:$R$51,Data!$G$2:$G$51,"eggs",Data!$H$2:$H$51,"animal_based")=0,"",SUMIFS(Data!$R$2:$R$51,Data!$G$2:$G$51,"eggs",Data!$H$2:$H$51,"animal_based")/(SUMIFS(Data!$R$2:$R$51,Data!$G$2:$G$51,"eggs",Data!$H$2:$H$51,"plant_based")+SUMIFS(Data!$R$2:$R$51,Data!$G$2:$G$51,"eggs",Data!$H$2:$H$51,"animal_based")))</f>
        <v>1</v>
      </c>
    </row>
    <row r="10">
      <c r="A10" s="17" t="s">
        <v>175</v>
      </c>
      <c r="B10" s="28">
        <f>SUMIFS(Data!$R$2:$R$51,Data!$G$2:$G$51,"other_animal")/1000</f>
        <v>9.394</v>
      </c>
      <c r="C10" s="28">
        <f t="shared" si="1"/>
        <v>1.50304</v>
      </c>
      <c r="D10" s="28">
        <f>SUMIFS(Data!$S$2:$S$51,Data!$G$2:$G$51,"other_animal")/1000</f>
        <v>0</v>
      </c>
      <c r="E10" s="28">
        <f>SUMIFS(Data!$T$2:$T$51,Data!$G$2:$G$51,"other_animal")/1000</f>
        <v>1.50304</v>
      </c>
      <c r="F10" s="32">
        <f>IF(SUMIFS(Data!$R$2:$R$51,Data!$G$2:$G$51,"other_animal",Data!$H$2:$H$51,"plant_based")+SUMIFS(Data!$R$2:$R$51,Data!$G$2:$G$51,"other_animal",Data!$H$2:$H$51,"animal_based")=0,"",SUMIFS(Data!$R$2:$R$51,Data!$G$2:$G$51,"other_animal",Data!$H$2:$H$51,"plant_based")/(SUMIFS(Data!$R$2:$R$51,Data!$G$2:$G$51,"other_animal",Data!$H$2:$H$51,"plant_based")+SUMIFS(Data!$R$2:$R$51,Data!$G$2:$G$51,"other_animal",Data!$H$2:$H$51,"animal_based")))</f>
        <v>0</v>
      </c>
      <c r="G10" s="32">
        <f>IF(SUMIFS(Data!$R$2:$R$51,Data!$G$2:$G$51,"other_animal",Data!$H$2:$H$51,"plant_based")+SUMIFS(Data!$R$2:$R$51,Data!$G$2:$G$51,"other_animal",Data!$H$2:$H$51,"animal_based")=0,"",SUMIFS(Data!$R$2:$R$51,Data!$G$2:$G$51,"other_animal",Data!$H$2:$H$51,"animal_based")/(SUMIFS(Data!$R$2:$R$51,Data!$G$2:$G$51,"other_animal",Data!$H$2:$H$51,"plant_based")+SUMIFS(Data!$R$2:$R$51,Data!$G$2:$G$51,"other_animal",Data!$H$2:$H$51,"animal_based")))</f>
        <v>1</v>
      </c>
    </row>
    <row r="11">
      <c r="A11" s="17" t="s">
        <v>181</v>
      </c>
      <c r="B11" s="28">
        <f>SUMIFS(Data!$R$2:$R$51,Data!$G$2:$G$51,"legumes")/1000</f>
        <v>173.7752</v>
      </c>
      <c r="C11" s="28">
        <f t="shared" si="1"/>
        <v>19.115272</v>
      </c>
      <c r="D11" s="28">
        <f>SUMIFS(Data!$S$2:$S$51,Data!$G$2:$G$51,"legumes")/1000</f>
        <v>19.115272</v>
      </c>
      <c r="E11" s="28">
        <f>SUMIFS(Data!$T$2:$T$51,Data!$G$2:$G$51,"legumes")/1000</f>
        <v>0</v>
      </c>
      <c r="F11" s="32">
        <f>IF(SUMIFS(Data!$R$2:$R$51,Data!$G$2:$G$51,"legumes",Data!$H$2:$H$51,"plant_based")+SUMIFS(Data!$R$2:$R$51,Data!$G$2:$G$51,"legumes",Data!$H$2:$H$51,"animal_based")=0,"",SUMIFS(Data!$R$2:$R$51,Data!$G$2:$G$51,"legumes",Data!$H$2:$H$51,"plant_based")/(SUMIFS(Data!$R$2:$R$51,Data!$G$2:$G$51,"legumes",Data!$H$2:$H$51,"plant_based")+SUMIFS(Data!$R$2:$R$51,Data!$G$2:$G$51,"legumes",Data!$H$2:$H$51,"animal_based")))</f>
        <v>1</v>
      </c>
      <c r="G11" s="32">
        <f>IF(SUMIFS(Data!$R$2:$R$51,Data!$G$2:$G$51,"legumes",Data!$H$2:$H$51,"plant_based")+SUMIFS(Data!$R$2:$R$51,Data!$G$2:$G$51,"legumes",Data!$H$2:$H$51,"animal_based")=0,"",SUMIFS(Data!$R$2:$R$51,Data!$G$2:$G$51,"legumes",Data!$H$2:$H$51,"animal_based")/(SUMIFS(Data!$R$2:$R$51,Data!$G$2:$G$51,"legumes",Data!$H$2:$H$51,"plant_based")+SUMIFS(Data!$R$2:$R$51,Data!$G$2:$G$51,"legumes",Data!$H$2:$H$51,"animal_based")))</f>
        <v>0</v>
      </c>
    </row>
    <row r="12">
      <c r="A12" s="17" t="s">
        <v>188</v>
      </c>
      <c r="B12" s="28">
        <f>SUMIFS(Data!$R$2:$R$51,Data!$G$2:$G$51,"nuts")/1000</f>
        <v>133.1031</v>
      </c>
      <c r="C12" s="28">
        <f t="shared" si="1"/>
        <v>36.460974</v>
      </c>
      <c r="D12" s="28">
        <f>SUMIFS(Data!$S$2:$S$51,Data!$G$2:$G$51,"nuts")/1000</f>
        <v>36.460974</v>
      </c>
      <c r="E12" s="28">
        <f>SUMIFS(Data!$T$2:$T$51,Data!$G$2:$G$51,"nuts")/1000</f>
        <v>0</v>
      </c>
      <c r="F12" s="32">
        <f>IF(SUMIFS(Data!$R$2:$R$51,Data!$G$2:$G$51,"nuts",Data!$H$2:$H$51,"plant_based")+SUMIFS(Data!$R$2:$R$51,Data!$G$2:$G$51,"nuts",Data!$H$2:$H$51,"animal_based")=0,"",SUMIFS(Data!$R$2:$R$51,Data!$G$2:$G$51,"nuts",Data!$H$2:$H$51,"plant_based")/(SUMIFS(Data!$R$2:$R$51,Data!$G$2:$G$51,"nuts",Data!$H$2:$H$51,"plant_based")+SUMIFS(Data!$R$2:$R$51,Data!$G$2:$G$51,"nuts",Data!$H$2:$H$51,"animal_based")))</f>
        <v>1</v>
      </c>
      <c r="G12" s="32">
        <f>IF(SUMIFS(Data!$R$2:$R$51,Data!$G$2:$G$51,"nuts",Data!$H$2:$H$51,"plant_based")+SUMIFS(Data!$R$2:$R$51,Data!$G$2:$G$51,"nuts",Data!$H$2:$H$51,"animal_based")=0,"",SUMIFS(Data!$R$2:$R$51,Data!$G$2:$G$51,"nuts",Data!$H$2:$H$51,"animal_based")/(SUMIFS(Data!$R$2:$R$51,Data!$G$2:$G$51,"nuts",Data!$H$2:$H$51,"plant_based")+SUMIFS(Data!$R$2:$R$51,Data!$G$2:$G$51,"nuts",Data!$H$2:$H$51,"animal_based")))</f>
        <v>0</v>
      </c>
    </row>
    <row r="13">
      <c r="A13" s="17" t="s">
        <v>196</v>
      </c>
      <c r="B13" s="28">
        <f>SUMIFS(Data!$R$2:$R$51,Data!$G$2:$G$51,"seeds")/1000</f>
        <v>38.16</v>
      </c>
      <c r="C13" s="28">
        <f t="shared" si="1"/>
        <v>11.448</v>
      </c>
      <c r="D13" s="28">
        <f>SUMIFS(Data!$S$2:$S$51,Data!$G$2:$G$51,"seeds")/1000</f>
        <v>11.448</v>
      </c>
      <c r="E13" s="28">
        <f>SUMIFS(Data!$T$2:$T$51,Data!$G$2:$G$51,"seeds")/1000</f>
        <v>0</v>
      </c>
      <c r="F13" s="32">
        <f>IF(SUMIFS(Data!$R$2:$R$51,Data!$G$2:$G$51,"seeds",Data!$H$2:$H$51,"plant_based")+SUMIFS(Data!$R$2:$R$51,Data!$G$2:$G$51,"seeds",Data!$H$2:$H$51,"animal_based")=0,"",SUMIFS(Data!$R$2:$R$51,Data!$G$2:$G$51,"seeds",Data!$H$2:$H$51,"plant_based")/(SUMIFS(Data!$R$2:$R$51,Data!$G$2:$G$51,"seeds",Data!$H$2:$H$51,"plant_based")+SUMIFS(Data!$R$2:$R$51,Data!$G$2:$G$51,"seeds",Data!$H$2:$H$51,"animal_based")))</f>
        <v>1</v>
      </c>
      <c r="G13" s="32">
        <f>IF(SUMIFS(Data!$R$2:$R$51,Data!$G$2:$G$51,"seeds",Data!$H$2:$H$51,"plant_based")+SUMIFS(Data!$R$2:$R$51,Data!$G$2:$G$51,"seeds",Data!$H$2:$H$51,"animal_based")=0,"",SUMIFS(Data!$R$2:$R$51,Data!$G$2:$G$51,"seeds",Data!$H$2:$H$51,"animal_based")/(SUMIFS(Data!$R$2:$R$51,Data!$G$2:$G$51,"seeds",Data!$H$2:$H$51,"plant_based")+SUMIFS(Data!$R$2:$R$51,Data!$G$2:$G$51,"seeds",Data!$H$2:$H$51,"animal_based")))</f>
        <v>0</v>
      </c>
    </row>
    <row r="14">
      <c r="A14" s="17" t="s">
        <v>202</v>
      </c>
      <c r="B14" s="28">
        <f>SUMIFS(Data!$R$2:$R$51,Data!$G$2:$G$51,"tofu_tempeh_seitan")/1000</f>
        <v>14.7904</v>
      </c>
      <c r="C14" s="28">
        <f t="shared" si="1"/>
        <v>2.366464</v>
      </c>
      <c r="D14" s="28">
        <f>SUMIFS(Data!$S$2:$S$51,Data!$G$2:$G$51,"tofu_tempeh_seitan")/1000</f>
        <v>2.366464</v>
      </c>
      <c r="E14" s="28">
        <f>SUMIFS(Data!$T$2:$T$51,Data!$G$2:$G$51,"tofu_tempeh_seitan")/1000</f>
        <v>0</v>
      </c>
      <c r="F14" s="32">
        <f>IF(SUMIFS(Data!$R$2:$R$51,Data!$G$2:$G$51,"tofu_tempeh_seitan",Data!$H$2:$H$51,"plant_based")+SUMIFS(Data!$R$2:$R$51,Data!$G$2:$G$51,"tofu_tempeh_seitan",Data!$H$2:$H$51,"animal_based")=0,"",SUMIFS(Data!$R$2:$R$51,Data!$G$2:$G$51,"tofu_tempeh_seitan",Data!$H$2:$H$51,"plant_based")/(SUMIFS(Data!$R$2:$R$51,Data!$G$2:$G$51,"tofu_tempeh_seitan",Data!$H$2:$H$51,"plant_based")+SUMIFS(Data!$R$2:$R$51,Data!$G$2:$G$51,"tofu_tempeh_seitan",Data!$H$2:$H$51,"animal_based")))</f>
        <v>1</v>
      </c>
      <c r="G14" s="32">
        <f>IF(SUMIFS(Data!$R$2:$R$51,Data!$G$2:$G$51,"tofu_tempeh_seitan",Data!$H$2:$H$51,"plant_based")+SUMIFS(Data!$R$2:$R$51,Data!$G$2:$G$51,"tofu_tempeh_seitan",Data!$H$2:$H$51,"animal_based")=0,"",SUMIFS(Data!$R$2:$R$51,Data!$G$2:$G$51,"tofu_tempeh_seitan",Data!$H$2:$H$51,"animal_based")/(SUMIFS(Data!$R$2:$R$51,Data!$G$2:$G$51,"tofu_tempeh_seitan",Data!$H$2:$H$51,"plant_based")+SUMIFS(Data!$R$2:$R$51,Data!$G$2:$G$51,"tofu_tempeh_seitan",Data!$H$2:$H$51,"animal_based")))</f>
        <v>0</v>
      </c>
    </row>
    <row r="15">
      <c r="A15" s="17" t="s">
        <v>206</v>
      </c>
      <c r="B15" s="28">
        <f>SUMIFS(Data!$R$2:$R$51,Data!$G$2:$G$51,"meat_egg_seafood_alternatives")/1000</f>
        <v>19.44789</v>
      </c>
      <c r="C15" s="28">
        <f t="shared" si="1"/>
        <v>3.1116624</v>
      </c>
      <c r="D15" s="28">
        <f>SUMIFS(Data!$S$2:$S$51,Data!$G$2:$G$51,"meat_egg_seafood_alternatives")/1000</f>
        <v>1.5558312</v>
      </c>
      <c r="E15" s="28">
        <f>SUMIFS(Data!$T$2:$T$51,Data!$G$2:$G$51,"meat_egg_seafood_alternatives")/1000</f>
        <v>1.5558312</v>
      </c>
      <c r="F15" s="32">
        <f>IF(SUMIFS(Data!$R$2:$R$51,Data!$G$2:$G$51,"meat_egg_seafood_alternatives",Data!$H$2:$H$51,"plant_based")+SUMIFS(Data!$R$2:$R$51,Data!$G$2:$G$51,"meat_egg_seafood_alternatives",Data!$H$2:$H$51,"animal_based")=0,"",SUMIFS(Data!$R$2:$R$51,Data!$G$2:$G$51,"meat_egg_seafood_alternatives",Data!$H$2:$H$51,"plant_based")/(SUMIFS(Data!$R$2:$R$51,Data!$G$2:$G$51,"meat_egg_seafood_alternatives",Data!$H$2:$H$51,"plant_based")+SUMIFS(Data!$R$2:$R$51,Data!$G$2:$G$51,"meat_egg_seafood_alternatives",Data!$H$2:$H$51,"animal_based")))</f>
        <v>0</v>
      </c>
      <c r="G15" s="32">
        <f>IF(SUMIFS(Data!$R$2:$R$51,Data!$G$2:$G$51,"meat_egg_seafood_alternatives",Data!$H$2:$H$51,"plant_based")+SUMIFS(Data!$R$2:$R$51,Data!$G$2:$G$51,"meat_egg_seafood_alternatives",Data!$H$2:$H$51,"animal_based")=0,"",SUMIFS(Data!$R$2:$R$51,Data!$G$2:$G$51,"meat_egg_seafood_alternatives",Data!$H$2:$H$51,"animal_based")/(SUMIFS(Data!$R$2:$R$51,Data!$G$2:$G$51,"meat_egg_seafood_alternatives",Data!$H$2:$H$51,"plant_based")+SUMIFS(Data!$R$2:$R$51,Data!$G$2:$G$51,"meat_egg_seafood_alternatives",Data!$H$2:$H$51,"animal_based")))</f>
        <v>1</v>
      </c>
    </row>
    <row r="16">
      <c r="A16" s="17" t="s">
        <v>212</v>
      </c>
      <c r="B16" s="28">
        <f>SUMIFS(Data!$R$2:$R$51,Data!$G$2:$G$51,"dairy_animal")/1000</f>
        <v>10868.46592</v>
      </c>
      <c r="C16" s="28">
        <f t="shared" si="1"/>
        <v>538.847096</v>
      </c>
      <c r="D16" s="28">
        <f>SUMIFS(Data!$S$2:$S$51,Data!$G$2:$G$51,"dairy_animal")/1000</f>
        <v>0</v>
      </c>
      <c r="E16" s="28">
        <f>SUMIFS(Data!$T$2:$T$51,Data!$G$2:$G$51,"dairy_animal")/1000</f>
        <v>538.847096</v>
      </c>
      <c r="F16" s="32">
        <f>IF(SUMIFS(Data!$R$2:$R$51,Data!$G$2:$G$51,"dairy_animal",Data!$H$2:$H$51,"plant_based")+SUMIFS(Data!$R$2:$R$51,Data!$G$2:$G$51,"dairy_animal",Data!$H$2:$H$51,"animal_based")=0,"",SUMIFS(Data!$R$2:$R$51,Data!$G$2:$G$51,"dairy_animal",Data!$H$2:$H$51,"plant_based")/(SUMIFS(Data!$R$2:$R$51,Data!$G$2:$G$51,"dairy_animal",Data!$H$2:$H$51,"plant_based")+SUMIFS(Data!$R$2:$R$51,Data!$G$2:$G$51,"dairy_animal",Data!$H$2:$H$51,"animal_based")))</f>
        <v>0</v>
      </c>
      <c r="G16" s="32">
        <f>IF(SUMIFS(Data!$R$2:$R$51,Data!$G$2:$G$51,"dairy_animal",Data!$H$2:$H$51,"plant_based")+SUMIFS(Data!$R$2:$R$51,Data!$G$2:$G$51,"dairy_animal",Data!$H$2:$H$51,"animal_based")=0,"",SUMIFS(Data!$R$2:$R$51,Data!$G$2:$G$51,"dairy_animal",Data!$H$2:$H$51,"animal_based")/(SUMIFS(Data!$R$2:$R$51,Data!$G$2:$G$51,"dairy_animal",Data!$H$2:$H$51,"plant_based")+SUMIFS(Data!$R$2:$R$51,Data!$G$2:$G$51,"dairy_animal",Data!$H$2:$H$51,"animal_based")))</f>
        <v>1</v>
      </c>
    </row>
    <row r="17">
      <c r="A17" s="17" t="s">
        <v>214</v>
      </c>
      <c r="B17" s="28">
        <f>SUMIFS(Data!$R$2:$R$51,Data!$G$2:$G$51,"dairy_alternative_plant")/1000</f>
        <v>178.885</v>
      </c>
      <c r="C17" s="28">
        <f t="shared" si="1"/>
        <v>12.52195</v>
      </c>
      <c r="D17" s="28">
        <f>SUMIFS(Data!$S$2:$S$51,Data!$G$2:$G$51,"dairy_alternative_plant")/1000</f>
        <v>12.52195</v>
      </c>
      <c r="E17" s="28">
        <f>SUMIFS(Data!$T$2:$T$51,Data!$G$2:$G$51,"dairy_alternative_plant")/1000</f>
        <v>0</v>
      </c>
      <c r="F17" s="32">
        <f>IF(SUMIFS(Data!$R$2:$R$51,Data!$G$2:$G$51,"dairy_alternative_plant",Data!$H$2:$H$51,"plant_based")+SUMIFS(Data!$R$2:$R$51,Data!$G$2:$G$51,"dairy_alternative_plant",Data!$H$2:$H$51,"animal_based")=0,"",SUMIFS(Data!$R$2:$R$51,Data!$G$2:$G$51,"dairy_alternative_plant",Data!$H$2:$H$51,"plant_based")/(SUMIFS(Data!$R$2:$R$51,Data!$G$2:$G$51,"dairy_alternative_plant",Data!$H$2:$H$51,"plant_based")+SUMIFS(Data!$R$2:$R$51,Data!$G$2:$G$51,"dairy_alternative_plant",Data!$H$2:$H$51,"animal_based")))</f>
        <v>1</v>
      </c>
      <c r="G17" s="32">
        <f>IF(SUMIFS(Data!$R$2:$R$51,Data!$G$2:$G$51,"dairy_alternative_plant",Data!$H$2:$H$51,"plant_based")+SUMIFS(Data!$R$2:$R$51,Data!$G$2:$G$51,"dairy_alternative_plant",Data!$H$2:$H$51,"animal_based")=0,"",SUMIFS(Data!$R$2:$R$51,Data!$G$2:$G$51,"dairy_alternative_plant",Data!$H$2:$H$51,"animal_based")/(SUMIFS(Data!$R$2:$R$51,Data!$G$2:$G$51,"dairy_alternative_plant",Data!$H$2:$H$51,"plant_based")+SUMIFS(Data!$R$2:$R$51,Data!$G$2:$G$51,"dairy_alternative_plant",Data!$H$2:$H$51,"animal_based")))</f>
        <v>0</v>
      </c>
    </row>
    <row r="18">
      <c r="A18" s="17" t="s">
        <v>221</v>
      </c>
      <c r="B18" s="28">
        <f>SUMIFS(Data!$R$2:$R$51,Data!$G$2:$G$51,"animal_based_fat")/1000</f>
        <v>150.10125</v>
      </c>
      <c r="C18" s="28">
        <f t="shared" si="1"/>
        <v>1.5010125</v>
      </c>
      <c r="D18" s="28">
        <f>SUMIFS(Data!$S$2:$S$51,Data!$G$2:$G$51,"animal_based_fat")/1000</f>
        <v>0</v>
      </c>
      <c r="E18" s="28">
        <f>SUMIFS(Data!$T$2:$T$51,Data!$G$2:$G$51,"animal_based_fat")/1000</f>
        <v>1.5010125</v>
      </c>
      <c r="F18" s="32">
        <f>IF(SUMIFS(Data!$R$2:$R$51,Data!$G$2:$G$51,"animal_based_fat",Data!$H$2:$H$51,"plant_based")+SUMIFS(Data!$R$2:$R$51,Data!$G$2:$G$51,"animal_based_fat",Data!$H$2:$H$51,"animal_based")=0,"",SUMIFS(Data!$R$2:$R$51,Data!$G$2:$G$51,"animal_based_fat",Data!$H$2:$H$51,"plant_based")/(SUMIFS(Data!$R$2:$R$51,Data!$G$2:$G$51,"animal_based_fat",Data!$H$2:$H$51,"plant_based")+SUMIFS(Data!$R$2:$R$51,Data!$G$2:$G$51,"animal_based_fat",Data!$H$2:$H$51,"animal_based")))</f>
        <v>0</v>
      </c>
      <c r="G18" s="32">
        <f>IF(SUMIFS(Data!$R$2:$R$51,Data!$G$2:$G$51,"animal_based_fat",Data!$H$2:$H$51,"plant_based")+SUMIFS(Data!$R$2:$R$51,Data!$G$2:$G$51,"animal_based_fat",Data!$H$2:$H$51,"animal_based")=0,"",SUMIFS(Data!$R$2:$R$51,Data!$G$2:$G$51,"animal_based_fat",Data!$H$2:$H$51,"animal_based")/(SUMIFS(Data!$R$2:$R$51,Data!$G$2:$G$51,"animal_based_fat",Data!$H$2:$H$51,"plant_based")+SUMIFS(Data!$R$2:$R$51,Data!$G$2:$G$51,"animal_based_fat",Data!$H$2:$H$51,"animal_based")))</f>
        <v>1</v>
      </c>
    </row>
    <row r="19" ht="15.75" customHeight="1">
      <c r="A19" s="17" t="s">
        <v>224</v>
      </c>
      <c r="B19" s="28">
        <f>SUMIFS(Data!$R$2:$R$51,Data!$G$2:$G$51,"plant_based_fat")/1000</f>
        <v>748.20852</v>
      </c>
      <c r="C19" s="28">
        <f t="shared" si="1"/>
        <v>3.7410426</v>
      </c>
      <c r="D19" s="28">
        <f>SUMIFS(Data!$S$2:$S$51,Data!$G$2:$G$51,"plant_based_fat")/1000</f>
        <v>3.7410426</v>
      </c>
      <c r="E19" s="28">
        <f>SUMIFS(Data!$T$2:$T$51,Data!$G$2:$G$51,"plant_based_fat")/1000</f>
        <v>0</v>
      </c>
      <c r="F19" s="32">
        <f>IF(SUMIFS(Data!$R$2:$R$51,Data!$G$2:$G$51,"plant_based_fat",Data!$H$2:$H$51,"plant_based")+SUMIFS(Data!$R$2:$R$51,Data!$G$2:$G$51,"plant_based_fat",Data!$H$2:$H$51,"animal_based")=0,"",SUMIFS(Data!$R$2:$R$51,Data!$G$2:$G$51,"plant_based_fat",Data!$H$2:$H$51,"plant_based")/(SUMIFS(Data!$R$2:$R$51,Data!$G$2:$G$51,"plant_based_fat",Data!$H$2:$H$51,"plant_based")+SUMIFS(Data!$R$2:$R$51,Data!$G$2:$G$51,"plant_based_fat",Data!$H$2:$H$51,"animal_based")))</f>
        <v>1</v>
      </c>
      <c r="G19" s="32">
        <f>IF(SUMIFS(Data!$R$2:$R$51,Data!$G$2:$G$51,"plant_based_fat",Data!$H$2:$H$51,"plant_based")+SUMIFS(Data!$R$2:$R$51,Data!$G$2:$G$51,"plant_based_fat",Data!$H$2:$H$51,"animal_based")=0,"",SUMIFS(Data!$R$2:$R$51,Data!$G$2:$G$51,"plant_based_fat",Data!$H$2:$H$51,"animal_based")/(SUMIFS(Data!$R$2:$R$51,Data!$G$2:$G$51,"plant_based_fat",Data!$H$2:$H$51,"plant_based")+SUMIFS(Data!$R$2:$R$51,Data!$G$2:$G$51,"plant_based_fat",Data!$H$2:$H$51,"animal_based")))</f>
        <v>0</v>
      </c>
    </row>
    <row r="20" ht="15.75" customHeight="1">
      <c r="A20" s="17" t="s">
        <v>230</v>
      </c>
      <c r="B20" s="28">
        <f>SUMIFS(Data!$R$2:$R$51,Data!$G$2:$G$51,"whole_grain")/1000</f>
        <v>516.751125</v>
      </c>
      <c r="C20" s="28">
        <f t="shared" si="1"/>
        <v>47.5411035</v>
      </c>
      <c r="D20" s="28">
        <f>SUMIFS(Data!$S$2:$S$51,Data!$G$2:$G$51,"whole_grain")/1000</f>
        <v>47.5411035</v>
      </c>
      <c r="E20" s="28">
        <f>SUMIFS(Data!$T$2:$T$51,Data!$G$2:$G$51,"whole_grain")/1000</f>
        <v>0</v>
      </c>
      <c r="F20" s="32">
        <f>IF(SUMIFS(Data!$R$2:$R$51,Data!$G$2:$G$51,"whole_grain",Data!$H$2:$H$51,"plant_based")+SUMIFS(Data!$R$2:$R$51,Data!$G$2:$G$51,"whole_grain",Data!$H$2:$H$51,"animal_based")=0,"",SUMIFS(Data!$R$2:$R$51,Data!$G$2:$G$51,"whole_grain",Data!$H$2:$H$51,"plant_based")/(SUMIFS(Data!$R$2:$R$51,Data!$G$2:$G$51,"whole_grain",Data!$H$2:$H$51,"plant_based")+SUMIFS(Data!$R$2:$R$51,Data!$G$2:$G$51,"whole_grain",Data!$H$2:$H$51,"animal_based")))</f>
        <v>1</v>
      </c>
      <c r="G20" s="32">
        <f>IF(SUMIFS(Data!$R$2:$R$51,Data!$G$2:$G$51,"whole_grain",Data!$H$2:$H$51,"plant_based")+SUMIFS(Data!$R$2:$R$51,Data!$G$2:$G$51,"whole_grain",Data!$H$2:$H$51,"animal_based")=0,"",SUMIFS(Data!$R$2:$R$51,Data!$G$2:$G$51,"whole_grain",Data!$H$2:$H$51,"animal_based")/(SUMIFS(Data!$R$2:$R$51,Data!$G$2:$G$51,"whole_grain",Data!$H$2:$H$51,"plant_based")+SUMIFS(Data!$R$2:$R$51,Data!$G$2:$G$51,"whole_grain",Data!$H$2:$H$51,"animal_based")))</f>
        <v>0</v>
      </c>
    </row>
    <row r="21" ht="15.75" customHeight="1">
      <c r="A21" s="17" t="s">
        <v>235</v>
      </c>
      <c r="B21" s="28">
        <f>SUMIFS(Data!$R$2:$R$51,Data!$G$2:$G$51,"refined_grain")/1000</f>
        <v>2400.598</v>
      </c>
      <c r="C21" s="28">
        <f t="shared" si="1"/>
        <v>234.947</v>
      </c>
      <c r="D21" s="28">
        <f>SUMIFS(Data!$S$2:$S$51,Data!$G$2:$G$51,"refined_grain")/1000</f>
        <v>234.947</v>
      </c>
      <c r="E21" s="28">
        <f>SUMIFS(Data!$T$2:$T$51,Data!$G$2:$G$51,"refined_grain")/1000</f>
        <v>0</v>
      </c>
      <c r="F21" s="32">
        <f>IF(SUMIFS(Data!$R$2:$R$51,Data!$G$2:$G$51,"refined_grain",Data!$H$2:$H$51,"plant_based")+SUMIFS(Data!$R$2:$R$51,Data!$G$2:$G$51,"refined_grain",Data!$H$2:$H$51,"animal_based")=0,"",SUMIFS(Data!$R$2:$R$51,Data!$G$2:$G$51,"refined_grain",Data!$H$2:$H$51,"plant_based")/(SUMIFS(Data!$R$2:$R$51,Data!$G$2:$G$51,"refined_grain",Data!$H$2:$H$51,"plant_based")+SUMIFS(Data!$R$2:$R$51,Data!$G$2:$G$51,"refined_grain",Data!$H$2:$H$51,"animal_based")))</f>
        <v>1</v>
      </c>
      <c r="G21" s="32">
        <f>IF(SUMIFS(Data!$R$2:$R$51,Data!$G$2:$G$51,"refined_grain",Data!$H$2:$H$51,"plant_based")+SUMIFS(Data!$R$2:$R$51,Data!$G$2:$G$51,"refined_grain",Data!$H$2:$H$51,"animal_based")=0,"",SUMIFS(Data!$R$2:$R$51,Data!$G$2:$G$51,"refined_grain",Data!$H$2:$H$51,"animal_based")/(SUMIFS(Data!$R$2:$R$51,Data!$G$2:$G$51,"refined_grain",Data!$H$2:$H$51,"plant_based")+SUMIFS(Data!$R$2:$R$51,Data!$G$2:$G$51,"refined_grain",Data!$H$2:$H$51,"animal_based")))</f>
        <v>0</v>
      </c>
    </row>
    <row r="22" ht="15.75" customHeight="1"/>
    <row r="23" ht="15.75" customHeight="1">
      <c r="A23" s="42" t="s">
        <v>241</v>
      </c>
    </row>
    <row r="24" ht="15.75" customHeight="1"/>
    <row r="25" ht="21.75" customHeight="1">
      <c r="A25" s="58" t="s">
        <v>242</v>
      </c>
      <c r="B25" s="4"/>
      <c r="C25" s="4"/>
      <c r="D25" s="4"/>
      <c r="E25" s="4"/>
      <c r="F25" s="4"/>
      <c r="G25" s="4"/>
    </row>
    <row r="26" ht="15.75" customHeight="1"/>
    <row r="27" ht="30.0" customHeight="1">
      <c r="A27" s="18" t="s">
        <v>243</v>
      </c>
      <c r="B27" s="20" t="s">
        <v>142</v>
      </c>
      <c r="C27" s="20" t="s">
        <v>145</v>
      </c>
      <c r="D27" s="20" t="s">
        <v>146</v>
      </c>
      <c r="E27" s="20" t="s">
        <v>147</v>
      </c>
      <c r="F27" s="20" t="s">
        <v>190</v>
      </c>
      <c r="G27" s="20" t="s">
        <v>191</v>
      </c>
    </row>
    <row r="28" ht="15.75" customHeight="1">
      <c r="A28" s="17" t="str">
        <f t="array" ref="A28:A52">UNIQUE(Data!E2:E994)</f>
        <v>Out-of-scope product - category</v>
      </c>
      <c r="B28" s="28">
        <f>SUMIFS(Data!$R$2:$R$51,Data!$E$2:$E$51,A28)/100</f>
        <v>83634.2052</v>
      </c>
      <c r="C28" s="28">
        <f t="shared" ref="C28:C51" si="2">D28+E28</f>
        <v>91.737669</v>
      </c>
      <c r="D28" s="28">
        <f>SUMIFS(Data!$S$2:$S$51,Data!$E$2:$E$51,A28)/1000</f>
        <v>91.737669</v>
      </c>
      <c r="E28" s="28">
        <f>SUMIFS(Data!$T$2:$T$51,Data!$E$2:$E$51,A28)/1000</f>
        <v>0</v>
      </c>
      <c r="F28" s="32">
        <f t="shared" ref="F28:F51" si="3">IF(C28=0,"",D28/C28)</f>
        <v>1</v>
      </c>
      <c r="G28" s="32">
        <f t="shared" ref="G28:G51" si="4">IF(C28=0,"",E28/C28)</f>
        <v>0</v>
      </c>
    </row>
    <row r="29" ht="15.75" customHeight="1">
      <c r="A29" s="17" t="s">
        <v>257</v>
      </c>
      <c r="B29" s="28">
        <f>SUMIFS(Data!$R$2:$R$51,Data!$E$2:$E$51,A29)/100</f>
        <v>90009.9</v>
      </c>
      <c r="C29" s="28">
        <f t="shared" si="2"/>
        <v>95.410494</v>
      </c>
      <c r="D29" s="28">
        <f>SUMIFS(Data!$S$2:$S$51,Data!$E$2:$E$51,A29)/1000</f>
        <v>95.410494</v>
      </c>
      <c r="E29" s="28">
        <f>SUMIFS(Data!$T$2:$T$51,Data!$E$2:$E$51,A29)/1000</f>
        <v>0</v>
      </c>
      <c r="F29" s="32">
        <f t="shared" si="3"/>
        <v>1</v>
      </c>
      <c r="G29" s="32">
        <f t="shared" si="4"/>
        <v>0</v>
      </c>
    </row>
    <row r="30" ht="15.75" customHeight="1">
      <c r="A30" s="17" t="s">
        <v>259</v>
      </c>
      <c r="B30" s="28">
        <f>SUMIFS(Data!$R$2:$R$51,Data!$E$2:$E$51,A30)/100</f>
        <v>108684.6592</v>
      </c>
      <c r="C30" s="28">
        <f t="shared" si="2"/>
        <v>538.847096</v>
      </c>
      <c r="D30" s="28">
        <f>SUMIFS(Data!$S$2:$S$51,Data!$E$2:$E$51,A30)/1000</f>
        <v>0</v>
      </c>
      <c r="E30" s="28">
        <f>SUMIFS(Data!$T$2:$T$51,Data!$E$2:$E$51,A30)/1000</f>
        <v>538.847096</v>
      </c>
      <c r="F30" s="32">
        <f t="shared" si="3"/>
        <v>0</v>
      </c>
      <c r="G30" s="32">
        <f t="shared" si="4"/>
        <v>1</v>
      </c>
    </row>
    <row r="31" ht="15.75" customHeight="1">
      <c r="A31" s="17" t="s">
        <v>263</v>
      </c>
      <c r="B31" s="28">
        <f>SUMIFS(Data!$R$2:$R$51,Data!$E$2:$E$51,A31)/100</f>
        <v>21109.45</v>
      </c>
      <c r="C31" s="28">
        <f t="shared" si="2"/>
        <v>44.9631285</v>
      </c>
      <c r="D31" s="28">
        <f>SUMIFS(Data!$S$2:$S$51,Data!$E$2:$E$51,A31)/1000</f>
        <v>44.9631285</v>
      </c>
      <c r="E31" s="28">
        <f>SUMIFS(Data!$T$2:$T$51,Data!$E$2:$E$51,A31)/1000</f>
        <v>0</v>
      </c>
      <c r="F31" s="32">
        <f t="shared" si="3"/>
        <v>1</v>
      </c>
      <c r="G31" s="32">
        <f t="shared" si="4"/>
        <v>0</v>
      </c>
    </row>
    <row r="32" ht="15.75" customHeight="1">
      <c r="A32" s="17" t="s">
        <v>255</v>
      </c>
      <c r="B32" s="28">
        <f>SUMIFS(Data!$R$2:$R$51,Data!$E$2:$E$51,A32)/100</f>
        <v>24005.98</v>
      </c>
      <c r="C32" s="28">
        <f t="shared" si="2"/>
        <v>234.947</v>
      </c>
      <c r="D32" s="28">
        <f>SUMIFS(Data!$S$2:$S$51,Data!$E$2:$E$51,A32)/1000</f>
        <v>234.947</v>
      </c>
      <c r="E32" s="28">
        <f>SUMIFS(Data!$T$2:$T$51,Data!$E$2:$E$51,A32)/1000</f>
        <v>0</v>
      </c>
      <c r="F32" s="32">
        <f t="shared" si="3"/>
        <v>1</v>
      </c>
      <c r="G32" s="32">
        <f t="shared" si="4"/>
        <v>0</v>
      </c>
    </row>
    <row r="33" ht="15.75" customHeight="1">
      <c r="A33" s="17" t="s">
        <v>267</v>
      </c>
      <c r="B33" s="28">
        <f>SUMIFS(Data!$R$2:$R$51,Data!$E$2:$E$51,A33)/100</f>
        <v>12407.495</v>
      </c>
      <c r="C33" s="28">
        <f t="shared" si="2"/>
        <v>78.1672185</v>
      </c>
      <c r="D33" s="28">
        <f>SUMIFS(Data!$S$2:$S$51,Data!$E$2:$E$51,A33)/1000</f>
        <v>54.8411279</v>
      </c>
      <c r="E33" s="28">
        <f>SUMIFS(Data!$T$2:$T$51,Data!$E$2:$E$51,A33)/1000</f>
        <v>23.3260906</v>
      </c>
      <c r="F33" s="32">
        <f t="shared" si="3"/>
        <v>0.7015873016</v>
      </c>
      <c r="G33" s="32">
        <f t="shared" si="4"/>
        <v>0.2984126984</v>
      </c>
    </row>
    <row r="34" ht="15.75" customHeight="1">
      <c r="A34" s="17" t="s">
        <v>270</v>
      </c>
      <c r="B34" s="28">
        <f>SUMIFS(Data!$R$2:$R$51,Data!$E$2:$E$51,A34)/100</f>
        <v>14344.87054</v>
      </c>
      <c r="C34" s="28">
        <f t="shared" si="2"/>
        <v>209.4158442</v>
      </c>
      <c r="D34" s="28">
        <f>SUMIFS(Data!$S$2:$S$51,Data!$E$2:$E$51,A34)/1000</f>
        <v>0</v>
      </c>
      <c r="E34" s="28">
        <f>SUMIFS(Data!$T$2:$T$51,Data!$E$2:$E$51,A34)/1000</f>
        <v>209.4158442</v>
      </c>
      <c r="F34" s="32">
        <f t="shared" si="3"/>
        <v>0</v>
      </c>
      <c r="G34" s="32">
        <f t="shared" si="4"/>
        <v>1</v>
      </c>
    </row>
    <row r="35" ht="15.75" customHeight="1">
      <c r="A35" s="17" t="s">
        <v>266</v>
      </c>
      <c r="B35" s="28">
        <f>SUMIFS(Data!$R$2:$R$51,Data!$E$2:$E$51,A35)/100</f>
        <v>5167.51125</v>
      </c>
      <c r="C35" s="28">
        <f t="shared" si="2"/>
        <v>47.5411035</v>
      </c>
      <c r="D35" s="28">
        <f>SUMIFS(Data!$S$2:$S$51,Data!$E$2:$E$51,A35)/1000</f>
        <v>47.5411035</v>
      </c>
      <c r="E35" s="28">
        <f>SUMIFS(Data!$T$2:$T$51,Data!$E$2:$E$51,A35)/1000</f>
        <v>0</v>
      </c>
      <c r="F35" s="32">
        <f t="shared" si="3"/>
        <v>1</v>
      </c>
      <c r="G35" s="32">
        <f t="shared" si="4"/>
        <v>0</v>
      </c>
    </row>
    <row r="36" ht="15.75" customHeight="1">
      <c r="A36" s="17" t="s">
        <v>272</v>
      </c>
      <c r="B36" s="28">
        <f>SUMIFS(Data!$R$2:$R$51,Data!$E$2:$E$51,A36)/100</f>
        <v>10401.33</v>
      </c>
      <c r="C36" s="28">
        <f t="shared" si="2"/>
        <v>219.850272</v>
      </c>
      <c r="D36" s="28">
        <f>SUMIFS(Data!$S$2:$S$51,Data!$E$2:$E$51,A36)/1000</f>
        <v>0</v>
      </c>
      <c r="E36" s="28">
        <f>SUMIFS(Data!$T$2:$T$51,Data!$E$2:$E$51,A36)/1000</f>
        <v>219.850272</v>
      </c>
      <c r="F36" s="32">
        <f t="shared" si="3"/>
        <v>0</v>
      </c>
      <c r="G36" s="32">
        <f t="shared" si="4"/>
        <v>1</v>
      </c>
    </row>
    <row r="37" ht="15.75" customHeight="1">
      <c r="A37" s="17" t="s">
        <v>275</v>
      </c>
      <c r="B37" s="28">
        <f>SUMIFS(Data!$R$2:$R$51,Data!$E$2:$E$51,A37)/100</f>
        <v>7482.0852</v>
      </c>
      <c r="C37" s="28">
        <f t="shared" si="2"/>
        <v>3.7410426</v>
      </c>
      <c r="D37" s="28">
        <f>SUMIFS(Data!$S$2:$S$51,Data!$E$2:$E$51,A37)/1000</f>
        <v>3.7410426</v>
      </c>
      <c r="E37" s="28">
        <f>SUMIFS(Data!$T$2:$T$51,Data!$E$2:$E$51,A37)/1000</f>
        <v>0</v>
      </c>
      <c r="F37" s="32">
        <f t="shared" si="3"/>
        <v>1</v>
      </c>
      <c r="G37" s="32">
        <f t="shared" si="4"/>
        <v>0</v>
      </c>
    </row>
    <row r="38" ht="15.75" customHeight="1">
      <c r="A38" s="17" t="s">
        <v>279</v>
      </c>
      <c r="B38" s="28">
        <f>SUMIFS(Data!$R$2:$R$51,Data!$E$2:$E$51,A38)/100</f>
        <v>7742.37</v>
      </c>
      <c r="C38" s="28">
        <f t="shared" si="2"/>
        <v>174.06894</v>
      </c>
      <c r="D38" s="28">
        <f>SUMIFS(Data!$S$2:$S$51,Data!$E$2:$E$51,A38)/1000</f>
        <v>0</v>
      </c>
      <c r="E38" s="28">
        <f>SUMIFS(Data!$T$2:$T$51,Data!$E$2:$E$51,A38)/1000</f>
        <v>174.06894</v>
      </c>
      <c r="F38" s="32">
        <f t="shared" si="3"/>
        <v>0</v>
      </c>
      <c r="G38" s="32">
        <f t="shared" si="4"/>
        <v>1</v>
      </c>
    </row>
    <row r="39" ht="15.75" customHeight="1">
      <c r="A39" s="17" t="s">
        <v>281</v>
      </c>
      <c r="B39" s="28">
        <f>SUMIFS(Data!$R$2:$R$51,Data!$E$2:$E$51,A39)/100</f>
        <v>1788.85</v>
      </c>
      <c r="C39" s="28">
        <f t="shared" si="2"/>
        <v>12.52195</v>
      </c>
      <c r="D39" s="28">
        <f>SUMIFS(Data!$S$2:$S$51,Data!$E$2:$E$51,A39)/1000</f>
        <v>12.52195</v>
      </c>
      <c r="E39" s="28">
        <f>SUMIFS(Data!$T$2:$T$51,Data!$E$2:$E$51,A39)/1000</f>
        <v>0</v>
      </c>
      <c r="F39" s="32">
        <f t="shared" si="3"/>
        <v>1</v>
      </c>
      <c r="G39" s="32">
        <f t="shared" si="4"/>
        <v>0</v>
      </c>
    </row>
    <row r="40" ht="15.75" customHeight="1">
      <c r="A40" s="17" t="s">
        <v>277</v>
      </c>
      <c r="B40" s="28">
        <f>SUMIFS(Data!$R$2:$R$51,Data!$E$2:$E$51,A40)/100</f>
        <v>1737.752</v>
      </c>
      <c r="C40" s="28">
        <f t="shared" si="2"/>
        <v>19.115272</v>
      </c>
      <c r="D40" s="28">
        <f>SUMIFS(Data!$S$2:$S$51,Data!$E$2:$E$51,A40)/1000</f>
        <v>19.115272</v>
      </c>
      <c r="E40" s="28">
        <f>SUMIFS(Data!$T$2:$T$51,Data!$E$2:$E$51,A40)/1000</f>
        <v>0</v>
      </c>
      <c r="F40" s="32">
        <f t="shared" si="3"/>
        <v>1</v>
      </c>
      <c r="G40" s="32">
        <f t="shared" si="4"/>
        <v>0</v>
      </c>
    </row>
    <row r="41" ht="15.75" customHeight="1">
      <c r="A41" s="17" t="s">
        <v>282</v>
      </c>
      <c r="B41" s="28">
        <f>SUMIFS(Data!$R$2:$R$51,Data!$E$2:$E$51,A41)/100</f>
        <v>4136.0812</v>
      </c>
      <c r="C41" s="28">
        <f t="shared" si="2"/>
        <v>85.8406808</v>
      </c>
      <c r="D41" s="28">
        <f>SUMIFS(Data!$S$2:$S$51,Data!$E$2:$E$51,A41)/1000</f>
        <v>35.46170448</v>
      </c>
      <c r="E41" s="28">
        <f>SUMIFS(Data!$T$2:$T$51,Data!$E$2:$E$51,A41)/1000</f>
        <v>50.37897632</v>
      </c>
      <c r="F41" s="32">
        <f t="shared" si="3"/>
        <v>0.4131107087</v>
      </c>
      <c r="G41" s="32">
        <f t="shared" si="4"/>
        <v>0.5868892913</v>
      </c>
    </row>
    <row r="42" ht="15.75" customHeight="1">
      <c r="A42" s="17" t="s">
        <v>284</v>
      </c>
      <c r="B42" s="28">
        <f>SUMIFS(Data!$R$2:$R$51,Data!$E$2:$E$51,A42)/100</f>
        <v>1503.6255</v>
      </c>
      <c r="C42" s="28">
        <f t="shared" si="2"/>
        <v>21.050757</v>
      </c>
      <c r="D42" s="28">
        <f>SUMIFS(Data!$S$2:$S$51,Data!$E$2:$E$51,A42)/1000</f>
        <v>10.5253785</v>
      </c>
      <c r="E42" s="28">
        <f>SUMIFS(Data!$T$2:$T$51,Data!$E$2:$E$51,A42)/1000</f>
        <v>10.5253785</v>
      </c>
      <c r="F42" s="32">
        <f t="shared" si="3"/>
        <v>0.5</v>
      </c>
      <c r="G42" s="32">
        <f t="shared" si="4"/>
        <v>0.5</v>
      </c>
    </row>
    <row r="43" ht="15.75" customHeight="1">
      <c r="A43" s="17" t="s">
        <v>286</v>
      </c>
      <c r="B43" s="28">
        <f>SUMIFS(Data!$R$2:$R$51,Data!$E$2:$E$51,A43)/100</f>
        <v>1501.0125</v>
      </c>
      <c r="C43" s="28">
        <f t="shared" si="2"/>
        <v>1.5010125</v>
      </c>
      <c r="D43" s="28">
        <f>SUMIFS(Data!$S$2:$S$51,Data!$E$2:$E$51,A43)/1000</f>
        <v>0</v>
      </c>
      <c r="E43" s="28">
        <f>SUMIFS(Data!$T$2:$T$51,Data!$E$2:$E$51,A43)/1000</f>
        <v>1.5010125</v>
      </c>
      <c r="F43" s="32">
        <f t="shared" si="3"/>
        <v>0</v>
      </c>
      <c r="G43" s="32">
        <f t="shared" si="4"/>
        <v>1</v>
      </c>
    </row>
    <row r="44" ht="15.75" customHeight="1">
      <c r="A44" s="17" t="s">
        <v>311</v>
      </c>
      <c r="B44" s="28">
        <f>SUMIFS(Data!$R$2:$R$51,Data!$E$2:$E$51,A44)/100</f>
        <v>1315.64</v>
      </c>
      <c r="C44" s="28">
        <f t="shared" si="2"/>
        <v>26.3128</v>
      </c>
      <c r="D44" s="28">
        <f>SUMIFS(Data!$S$2:$S$51,Data!$E$2:$E$51,A44)/1000</f>
        <v>0</v>
      </c>
      <c r="E44" s="28">
        <f>SUMIFS(Data!$T$2:$T$51,Data!$E$2:$E$51,A44)/1000</f>
        <v>26.3128</v>
      </c>
      <c r="F44" s="32">
        <f t="shared" si="3"/>
        <v>0</v>
      </c>
      <c r="G44" s="32">
        <f t="shared" si="4"/>
        <v>1</v>
      </c>
    </row>
    <row r="45" ht="15.75" customHeight="1">
      <c r="A45" s="17" t="s">
        <v>280</v>
      </c>
      <c r="B45" s="28">
        <f>SUMIFS(Data!$R$2:$R$51,Data!$E$2:$E$51,A45)/100</f>
        <v>1331.031</v>
      </c>
      <c r="C45" s="28">
        <f t="shared" si="2"/>
        <v>36.460974</v>
      </c>
      <c r="D45" s="28">
        <f>SUMIFS(Data!$S$2:$S$51,Data!$E$2:$E$51,A45)/1000</f>
        <v>36.460974</v>
      </c>
      <c r="E45" s="28">
        <f>SUMIFS(Data!$T$2:$T$51,Data!$E$2:$E$51,A45)/1000</f>
        <v>0</v>
      </c>
      <c r="F45" s="32">
        <f t="shared" si="3"/>
        <v>1</v>
      </c>
      <c r="G45" s="32">
        <f t="shared" si="4"/>
        <v>0</v>
      </c>
    </row>
    <row r="46" ht="15.75" customHeight="1">
      <c r="A46" s="17" t="s">
        <v>315</v>
      </c>
      <c r="B46" s="28">
        <f>SUMIFS(Data!$R$2:$R$51,Data!$E$2:$E$51,A46)/100</f>
        <v>549.112</v>
      </c>
      <c r="C46" s="28">
        <f t="shared" si="2"/>
        <v>11.531352</v>
      </c>
      <c r="D46" s="28">
        <f>SUMIFS(Data!$S$2:$S$51,Data!$E$2:$E$51,A46)/1000</f>
        <v>7.70404136</v>
      </c>
      <c r="E46" s="28">
        <f>SUMIFS(Data!$T$2:$T$51,Data!$E$2:$E$51,A46)/1000</f>
        <v>3.82731064</v>
      </c>
      <c r="F46" s="32">
        <f t="shared" si="3"/>
        <v>0.6680952381</v>
      </c>
      <c r="G46" s="32">
        <f t="shared" si="4"/>
        <v>0.3319047619</v>
      </c>
    </row>
    <row r="47" ht="15.75" customHeight="1">
      <c r="A47" s="17" t="s">
        <v>285</v>
      </c>
      <c r="B47" s="28">
        <f>SUMIFS(Data!$R$2:$R$51,Data!$E$2:$E$51,A47)/100</f>
        <v>381.6</v>
      </c>
      <c r="C47" s="28">
        <f t="shared" si="2"/>
        <v>11.448</v>
      </c>
      <c r="D47" s="28">
        <f>SUMIFS(Data!$S$2:$S$51,Data!$E$2:$E$51,A47)/1000</f>
        <v>11.448</v>
      </c>
      <c r="E47" s="28">
        <f>SUMIFS(Data!$T$2:$T$51,Data!$E$2:$E$51,A47)/1000</f>
        <v>0</v>
      </c>
      <c r="F47" s="32">
        <f t="shared" si="3"/>
        <v>1</v>
      </c>
      <c r="G47" s="32">
        <f t="shared" si="4"/>
        <v>0</v>
      </c>
    </row>
    <row r="48" ht="15.75" customHeight="1">
      <c r="A48" s="17" t="s">
        <v>309</v>
      </c>
      <c r="B48" s="28">
        <f>SUMIFS(Data!$R$2:$R$51,Data!$E$2:$E$51,A48)/100</f>
        <v>329.095</v>
      </c>
      <c r="C48" s="28">
        <f t="shared" si="2"/>
        <v>8.227375</v>
      </c>
      <c r="D48" s="28">
        <f>SUMIFS(Data!$S$2:$S$51,Data!$E$2:$E$51,A48)/1000</f>
        <v>8.227375</v>
      </c>
      <c r="E48" s="28">
        <f>SUMIFS(Data!$T$2:$T$51,Data!$E$2:$E$51,A48)/1000</f>
        <v>0</v>
      </c>
      <c r="F48" s="32">
        <f t="shared" si="3"/>
        <v>1</v>
      </c>
      <c r="G48" s="32">
        <f t="shared" si="4"/>
        <v>0</v>
      </c>
    </row>
    <row r="49" ht="15.75" customHeight="1">
      <c r="A49" s="17" t="s">
        <v>335</v>
      </c>
      <c r="B49" s="28">
        <f>SUMIFS(Data!$R$2:$R$51,Data!$E$2:$E$51,A49)/100</f>
        <v>194.4789</v>
      </c>
      <c r="C49" s="28">
        <f t="shared" si="2"/>
        <v>3.1116624</v>
      </c>
      <c r="D49" s="28">
        <f>SUMIFS(Data!$S$2:$S$51,Data!$E$2:$E$51,A49)/1000</f>
        <v>1.5558312</v>
      </c>
      <c r="E49" s="28">
        <f>SUMIFS(Data!$T$2:$T$51,Data!$E$2:$E$51,A49)/1000</f>
        <v>1.5558312</v>
      </c>
      <c r="F49" s="32">
        <f t="shared" si="3"/>
        <v>0.5</v>
      </c>
      <c r="G49" s="32">
        <f t="shared" si="4"/>
        <v>0.5</v>
      </c>
    </row>
    <row r="50" ht="15.75" customHeight="1">
      <c r="A50" s="17" t="s">
        <v>312</v>
      </c>
      <c r="B50" s="28">
        <f>SUMIFS(Data!$R$2:$R$51,Data!$E$2:$E$51,A50)/100</f>
        <v>147.904</v>
      </c>
      <c r="C50" s="28">
        <f t="shared" si="2"/>
        <v>2.366464</v>
      </c>
      <c r="D50" s="28">
        <f>SUMIFS(Data!$S$2:$S$51,Data!$E$2:$E$51,A50)/1000</f>
        <v>2.366464</v>
      </c>
      <c r="E50" s="28">
        <f>SUMIFS(Data!$T$2:$T$51,Data!$E$2:$E$51,A50)/1000</f>
        <v>0</v>
      </c>
      <c r="F50" s="32">
        <f t="shared" si="3"/>
        <v>1</v>
      </c>
      <c r="G50" s="32">
        <f t="shared" si="4"/>
        <v>0</v>
      </c>
    </row>
    <row r="51" ht="15.75" customHeight="1">
      <c r="A51" s="17" t="s">
        <v>347</v>
      </c>
      <c r="B51" s="28">
        <f>SUMIFS(Data!$R$2:$R$51,Data!$E$2:$E$51,A51)/100</f>
        <v>93.94</v>
      </c>
      <c r="C51" s="28">
        <f t="shared" si="2"/>
        <v>1.50304</v>
      </c>
      <c r="D51" s="28">
        <f>SUMIFS(Data!$S$2:$S$51,Data!$E$2:$E$51,A51)/1000</f>
        <v>0</v>
      </c>
      <c r="E51" s="28">
        <f>SUMIFS(Data!$T$2:$T$51,Data!$E$2:$E$51,A51)/1000</f>
        <v>1.50304</v>
      </c>
      <c r="F51" s="32">
        <f t="shared" si="3"/>
        <v>0</v>
      </c>
      <c r="G51" s="32">
        <f t="shared" si="4"/>
        <v>1</v>
      </c>
    </row>
    <row r="52" ht="15.75" customHeight="1">
      <c r="A52" s="55"/>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autoFilter ref="$A$27:$G$51"/>
  <mergeCells count="4">
    <mergeCell ref="A1:G1"/>
    <mergeCell ref="A3:G3"/>
    <mergeCell ref="A23:G23"/>
    <mergeCell ref="A25:G2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40.0"/>
    <col customWidth="1" min="2" max="7" width="15.0"/>
  </cols>
  <sheetData>
    <row r="1" ht="25.5" customHeight="1">
      <c r="A1" s="23" t="s">
        <v>185</v>
      </c>
      <c r="B1" s="4"/>
      <c r="C1" s="4"/>
      <c r="D1" s="4"/>
      <c r="E1" s="4"/>
      <c r="F1" s="4"/>
      <c r="G1" s="4"/>
    </row>
    <row r="3" ht="30.0" customHeight="1">
      <c r="A3" s="18" t="s">
        <v>189</v>
      </c>
      <c r="B3" s="20" t="s">
        <v>142</v>
      </c>
      <c r="C3" s="20" t="s">
        <v>145</v>
      </c>
      <c r="D3" s="20" t="s">
        <v>146</v>
      </c>
      <c r="E3" s="20" t="s">
        <v>147</v>
      </c>
      <c r="F3" s="20" t="s">
        <v>190</v>
      </c>
      <c r="G3" s="20" t="s">
        <v>191</v>
      </c>
    </row>
    <row r="4">
      <c r="A4" s="17" t="str">
        <f t="array" ref="A4:A16">UNIQUE(Data!D2:D998)</f>
        <v>Beverages</v>
      </c>
      <c r="B4" s="28">
        <f>SUMIFS(Data!$R$2:$R$51,Data!$D$2:$D$51,A4)/1000</f>
        <v>7599.402</v>
      </c>
      <c r="C4" s="28">
        <f t="shared" ref="C4:C15" si="1">D4+E4</f>
        <v>37.99701</v>
      </c>
      <c r="D4" s="28">
        <f>SUMIFS(Data!$S$2:$S$51,Data!$D$2:$D$51,A4)/1000</f>
        <v>37.99701</v>
      </c>
      <c r="E4" s="28">
        <f>SUMIFS(Data!$T$2:$T$51,Data!$D$2:$D$51,A4)/1000</f>
        <v>0</v>
      </c>
      <c r="F4" s="32">
        <f t="shared" ref="F4:F15" si="2">IF(C4=0,"",D4/C4)</f>
        <v>1</v>
      </c>
      <c r="G4" s="32">
        <f t="shared" ref="G4:G15" si="3">IF(C4=0,"",E4/C4)</f>
        <v>0</v>
      </c>
    </row>
    <row r="5">
      <c r="A5" s="17" t="s">
        <v>193</v>
      </c>
      <c r="B5" s="28">
        <f>SUMIFS(Data!$R$2:$R$51,Data!$D$2:$D$51,A5)/1000</f>
        <v>11631.1676</v>
      </c>
      <c r="C5" s="28">
        <f t="shared" si="1"/>
        <v>173.3923375</v>
      </c>
      <c r="D5" s="28">
        <f>SUMIFS(Data!$S$2:$S$51,Data!$D$2:$D$51,A5)/1000</f>
        <v>173.3923375</v>
      </c>
      <c r="E5" s="28">
        <f>SUMIFS(Data!$T$2:$T$51,Data!$D$2:$D$51,A5)/1000</f>
        <v>0</v>
      </c>
      <c r="F5" s="32">
        <f t="shared" si="2"/>
        <v>1</v>
      </c>
      <c r="G5" s="32">
        <f t="shared" si="3"/>
        <v>0</v>
      </c>
    </row>
    <row r="6">
      <c r="A6" s="17" t="s">
        <v>195</v>
      </c>
      <c r="B6" s="28">
        <f>SUMIFS(Data!$R$2:$R$51,Data!$D$2:$D$51,A6)/1000</f>
        <v>11886.88042</v>
      </c>
      <c r="C6" s="28">
        <f t="shared" si="1"/>
        <v>596.8970266</v>
      </c>
      <c r="D6" s="28">
        <f>SUMIFS(Data!$S$2:$S$51,Data!$D$2:$D$51,A6)/1000</f>
        <v>0</v>
      </c>
      <c r="E6" s="28">
        <f>SUMIFS(Data!$T$2:$T$51,Data!$D$2:$D$51,A6)/1000</f>
        <v>596.8970266</v>
      </c>
      <c r="F6" s="32">
        <f t="shared" si="2"/>
        <v>0</v>
      </c>
      <c r="G6" s="32">
        <f t="shared" si="3"/>
        <v>1</v>
      </c>
    </row>
    <row r="7">
      <c r="A7" s="17" t="s">
        <v>197</v>
      </c>
      <c r="B7" s="28">
        <f>SUMIFS(Data!$R$2:$R$51,Data!$D$2:$D$51,A7)/1000</f>
        <v>3467.2245</v>
      </c>
      <c r="C7" s="28">
        <f t="shared" si="1"/>
        <v>320.4744465</v>
      </c>
      <c r="D7" s="28">
        <f>SUMIFS(Data!$S$2:$S$51,Data!$D$2:$D$51,A7)/1000</f>
        <v>297.1483559</v>
      </c>
      <c r="E7" s="28">
        <f>SUMIFS(Data!$T$2:$T$51,Data!$D$2:$D$51,A7)/1000</f>
        <v>23.3260906</v>
      </c>
      <c r="F7" s="32">
        <f t="shared" si="2"/>
        <v>0.9272138829</v>
      </c>
      <c r="G7" s="32">
        <f t="shared" si="3"/>
        <v>0.07278611713</v>
      </c>
    </row>
    <row r="8">
      <c r="A8" s="17" t="s">
        <v>199</v>
      </c>
      <c r="B8" s="28">
        <f>SUMIFS(Data!$R$2:$R$51,Data!$D$2:$D$51,A8)/1000</f>
        <v>1899.79574</v>
      </c>
      <c r="C8" s="28">
        <f t="shared" si="1"/>
        <v>150.4858594</v>
      </c>
      <c r="D8" s="28">
        <f>SUMIFS(Data!$S$2:$S$51,Data!$D$2:$D$51,A8)/1000</f>
        <v>123.0291231</v>
      </c>
      <c r="E8" s="28">
        <f>SUMIFS(Data!$T$2:$T$51,Data!$D$2:$D$51,A8)/1000</f>
        <v>27.45673632</v>
      </c>
      <c r="F8" s="32">
        <f t="shared" si="2"/>
        <v>0.8175460709</v>
      </c>
      <c r="G8" s="32">
        <f t="shared" si="3"/>
        <v>0.1824539291</v>
      </c>
    </row>
    <row r="9">
      <c r="A9" s="17" t="s">
        <v>200</v>
      </c>
      <c r="B9" s="28">
        <f>SUMIFS(Data!$R$2:$R$51,Data!$D$2:$D$51,A9)/1000</f>
        <v>516.751125</v>
      </c>
      <c r="C9" s="28">
        <f t="shared" si="1"/>
        <v>47.5411035</v>
      </c>
      <c r="D9" s="28">
        <f>SUMIFS(Data!$S$2:$S$51,Data!$D$2:$D$51,A9)/1000</f>
        <v>47.5411035</v>
      </c>
      <c r="E9" s="28">
        <f>SUMIFS(Data!$T$2:$T$51,Data!$D$2:$D$51,A9)/1000</f>
        <v>0</v>
      </c>
      <c r="F9" s="32">
        <f t="shared" si="2"/>
        <v>1</v>
      </c>
      <c r="G9" s="32">
        <f t="shared" si="3"/>
        <v>0</v>
      </c>
    </row>
    <row r="10">
      <c r="A10" s="17" t="s">
        <v>201</v>
      </c>
      <c r="B10" s="28">
        <f>SUMIFS(Data!$R$2:$R$51,Data!$D$2:$D$51,A10)/1000</f>
        <v>1040.133</v>
      </c>
      <c r="C10" s="28">
        <f t="shared" si="1"/>
        <v>219.850272</v>
      </c>
      <c r="D10" s="28">
        <f>SUMIFS(Data!$S$2:$S$51,Data!$D$2:$D$51,A10)/1000</f>
        <v>0</v>
      </c>
      <c r="E10" s="28">
        <f>SUMIFS(Data!$T$2:$T$51,Data!$D$2:$D$51,A10)/1000</f>
        <v>219.850272</v>
      </c>
      <c r="F10" s="32">
        <f t="shared" si="2"/>
        <v>0</v>
      </c>
      <c r="G10" s="32">
        <f t="shared" si="3"/>
        <v>1</v>
      </c>
    </row>
    <row r="11">
      <c r="A11" s="17" t="s">
        <v>203</v>
      </c>
      <c r="B11" s="28">
        <f>SUMIFS(Data!$R$2:$R$51,Data!$D$2:$D$51,A11)/1000</f>
        <v>774.237</v>
      </c>
      <c r="C11" s="28">
        <f t="shared" si="1"/>
        <v>174.06894</v>
      </c>
      <c r="D11" s="28">
        <f>SUMIFS(Data!$S$2:$S$51,Data!$D$2:$D$51,A11)/1000</f>
        <v>0</v>
      </c>
      <c r="E11" s="28">
        <f>SUMIFS(Data!$T$2:$T$51,Data!$D$2:$D$51,A11)/1000</f>
        <v>174.06894</v>
      </c>
      <c r="F11" s="32">
        <f t="shared" si="2"/>
        <v>0</v>
      </c>
      <c r="G11" s="32">
        <f t="shared" si="3"/>
        <v>1</v>
      </c>
    </row>
    <row r="12">
      <c r="A12" s="17" t="s">
        <v>204</v>
      </c>
      <c r="B12" s="28">
        <f>SUMIFS(Data!$R$2:$R$51,Data!$D$2:$D$51,A12)/1000</f>
        <v>566.1738</v>
      </c>
      <c r="C12" s="28">
        <f t="shared" si="1"/>
        <v>152.866926</v>
      </c>
      <c r="D12" s="28">
        <f>SUMIFS(Data!$S$2:$S$51,Data!$D$2:$D$51,A12)/1000</f>
        <v>0</v>
      </c>
      <c r="E12" s="28">
        <f>SUMIFS(Data!$T$2:$T$51,Data!$D$2:$D$51,A12)/1000</f>
        <v>152.866926</v>
      </c>
      <c r="F12" s="32">
        <f t="shared" si="2"/>
        <v>0</v>
      </c>
      <c r="G12" s="32">
        <f t="shared" si="3"/>
        <v>1</v>
      </c>
    </row>
    <row r="13">
      <c r="A13" s="17" t="s">
        <v>205</v>
      </c>
      <c r="B13" s="28">
        <f>SUMIFS(Data!$R$2:$R$51,Data!$D$2:$D$51,A13)/1000</f>
        <v>527.71527</v>
      </c>
      <c r="C13" s="28">
        <f t="shared" si="1"/>
        <v>83.320189</v>
      </c>
      <c r="D13" s="28">
        <f>SUMIFS(Data!$S$2:$S$51,Data!$D$2:$D$51,A13)/1000</f>
        <v>18.22941986</v>
      </c>
      <c r="E13" s="28">
        <f>SUMIFS(Data!$T$2:$T$51,Data!$D$2:$D$51,A13)/1000</f>
        <v>65.09076914</v>
      </c>
      <c r="F13" s="32">
        <f t="shared" si="2"/>
        <v>0.2187875481</v>
      </c>
      <c r="G13" s="32">
        <f t="shared" si="3"/>
        <v>0.7812124519</v>
      </c>
    </row>
    <row r="14">
      <c r="A14" s="17" t="s">
        <v>207</v>
      </c>
      <c r="B14" s="28">
        <f>SUMIFS(Data!$R$2:$R$51,Data!$D$2:$D$51,A14)/1000</f>
        <v>38.16</v>
      </c>
      <c r="C14" s="28">
        <f t="shared" si="1"/>
        <v>11.448</v>
      </c>
      <c r="D14" s="28">
        <f>SUMIFS(Data!$S$2:$S$51,Data!$D$2:$D$51,A14)/1000</f>
        <v>11.448</v>
      </c>
      <c r="E14" s="28">
        <f>SUMIFS(Data!$T$2:$T$51,Data!$D$2:$D$51,A14)/1000</f>
        <v>0</v>
      </c>
      <c r="F14" s="32">
        <f t="shared" si="2"/>
        <v>1</v>
      </c>
      <c r="G14" s="32">
        <f t="shared" si="3"/>
        <v>0</v>
      </c>
    </row>
    <row r="15">
      <c r="A15" s="17" t="s">
        <v>208</v>
      </c>
      <c r="B15" s="28">
        <f>SUMIFS(Data!$R$2:$R$51,Data!$D$2:$D$51,A15)/1000</f>
        <v>52.35739</v>
      </c>
      <c r="C15" s="28">
        <f t="shared" si="1"/>
        <v>11.3390374</v>
      </c>
      <c r="D15" s="28">
        <f>SUMIFS(Data!$S$2:$S$51,Data!$D$2:$D$51,A15)/1000</f>
        <v>9.7832062</v>
      </c>
      <c r="E15" s="28">
        <f>SUMIFS(Data!$T$2:$T$51,Data!$D$2:$D$51,A15)/1000</f>
        <v>1.5558312</v>
      </c>
      <c r="F15" s="32">
        <f t="shared" si="2"/>
        <v>0.8627898343</v>
      </c>
      <c r="G15" s="32">
        <f t="shared" si="3"/>
        <v>0.1372101657</v>
      </c>
    </row>
    <row r="16">
      <c r="A16" s="55"/>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autoFilter ref="$A$3:$G$15"/>
  <mergeCells count="1">
    <mergeCell ref="A1:G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40.0"/>
    <col customWidth="1" min="2" max="7" width="15.0"/>
  </cols>
  <sheetData>
    <row r="1" ht="25.5" customHeight="1">
      <c r="A1" s="23" t="s">
        <v>231</v>
      </c>
      <c r="B1" s="4"/>
      <c r="C1" s="4"/>
      <c r="D1" s="4"/>
      <c r="E1" s="4"/>
      <c r="F1" s="4"/>
      <c r="G1" s="4"/>
    </row>
    <row r="3" ht="30.0" customHeight="1">
      <c r="A3" s="18" t="s">
        <v>232</v>
      </c>
      <c r="B3" s="20" t="s">
        <v>142</v>
      </c>
      <c r="C3" s="20" t="s">
        <v>145</v>
      </c>
      <c r="D3" s="20" t="s">
        <v>146</v>
      </c>
      <c r="E3" s="20" t="s">
        <v>147</v>
      </c>
      <c r="F3" s="20" t="s">
        <v>190</v>
      </c>
      <c r="G3" s="20" t="s">
        <v>191</v>
      </c>
    </row>
    <row r="4">
      <c r="A4" s="17" t="str">
        <f t="array" ref="A4:A14">UNIQUE(Data!C2:C998)</f>
        <v>Brand A</v>
      </c>
      <c r="B4" s="28">
        <f>SUMIFS(Data!$R$2:$R$51,Data!$C$2:$C$51,A4)/1000</f>
        <v>17262.26882</v>
      </c>
      <c r="C4" s="28">
        <f t="shared" ref="C4:C13" si="1">D4+E4</f>
        <v>762.5981104</v>
      </c>
      <c r="D4" s="28">
        <f>SUMIFS(Data!$S$2:$S$51,Data!$C$2:$C$51,A4)/1000</f>
        <v>314.9964574</v>
      </c>
      <c r="E4" s="28">
        <f>SUMIFS(Data!$T$2:$T$51,Data!$C$2:$C$51,A4)/1000</f>
        <v>447.601653</v>
      </c>
      <c r="F4" s="32">
        <f t="shared" ref="F4:F13" si="2">IF(C4=0,"",D4/C4)</f>
        <v>0.4130569603</v>
      </c>
      <c r="G4" s="32">
        <f t="shared" ref="G4:G13" si="3">IF(C4=0,"",E4/C4)</f>
        <v>0.5869430397</v>
      </c>
    </row>
    <row r="5">
      <c r="A5" s="17" t="s">
        <v>234</v>
      </c>
      <c r="B5" s="28">
        <f>SUMIFS(Data!$R$2:$R$51,Data!$C$2:$C$51,A5)/1000</f>
        <v>10400.93552</v>
      </c>
      <c r="C5" s="28">
        <f t="shared" si="1"/>
        <v>303.453757</v>
      </c>
      <c r="D5" s="28">
        <f>SUMIFS(Data!$S$2:$S$51,Data!$C$2:$C$51,A5)/1000</f>
        <v>127.881777</v>
      </c>
      <c r="E5" s="28">
        <f>SUMIFS(Data!$T$2:$T$51,Data!$C$2:$C$51,A5)/1000</f>
        <v>175.57198</v>
      </c>
      <c r="F5" s="32">
        <f t="shared" si="2"/>
        <v>0.4214209712</v>
      </c>
      <c r="G5" s="32">
        <f t="shared" si="3"/>
        <v>0.5785790288</v>
      </c>
    </row>
    <row r="6">
      <c r="A6" s="17" t="s">
        <v>236</v>
      </c>
      <c r="B6" s="28">
        <f>SUMIFS(Data!$R$2:$R$51,Data!$C$2:$C$51,A6)/1000</f>
        <v>4180.308</v>
      </c>
      <c r="C6" s="28">
        <f t="shared" si="1"/>
        <v>148.138884</v>
      </c>
      <c r="D6" s="28">
        <f>SUMIFS(Data!$S$2:$S$51,Data!$C$2:$C$51,A6)/1000</f>
        <v>11.448</v>
      </c>
      <c r="E6" s="28">
        <f>SUMIFS(Data!$T$2:$T$51,Data!$C$2:$C$51,A6)/1000</f>
        <v>136.690884</v>
      </c>
      <c r="F6" s="32">
        <f t="shared" si="2"/>
        <v>0.07727883248</v>
      </c>
      <c r="G6" s="32">
        <f t="shared" si="3"/>
        <v>0.9227211675</v>
      </c>
    </row>
    <row r="7">
      <c r="A7" s="17" t="s">
        <v>239</v>
      </c>
      <c r="B7" s="28">
        <f>SUMIFS(Data!$R$2:$R$51,Data!$C$2:$C$51,A7)/1000</f>
        <v>2445.13912</v>
      </c>
      <c r="C7" s="28">
        <f t="shared" si="1"/>
        <v>219.775276</v>
      </c>
      <c r="D7" s="28">
        <f>SUMIFS(Data!$S$2:$S$51,Data!$C$2:$C$51,A7)/1000</f>
        <v>0</v>
      </c>
      <c r="E7" s="28">
        <f>SUMIFS(Data!$T$2:$T$51,Data!$C$2:$C$51,A7)/1000</f>
        <v>219.775276</v>
      </c>
      <c r="F7" s="32">
        <f t="shared" si="2"/>
        <v>0</v>
      </c>
      <c r="G7" s="32">
        <f t="shared" si="3"/>
        <v>1</v>
      </c>
    </row>
    <row r="8">
      <c r="A8" s="17" t="s">
        <v>240</v>
      </c>
      <c r="B8" s="28">
        <f>SUMIFS(Data!$R$2:$R$51,Data!$C$2:$C$51,A8)/1000</f>
        <v>2021.907964</v>
      </c>
      <c r="C8" s="28">
        <f t="shared" si="1"/>
        <v>197.569467</v>
      </c>
      <c r="D8" s="28">
        <f>SUMIFS(Data!$S$2:$S$51,Data!$C$2:$C$51,A8)/1000</f>
        <v>58.26465</v>
      </c>
      <c r="E8" s="28">
        <f>SUMIFS(Data!$T$2:$T$51,Data!$C$2:$C$51,A8)/1000</f>
        <v>139.304817</v>
      </c>
      <c r="F8" s="32">
        <f t="shared" si="2"/>
        <v>0.294907158</v>
      </c>
      <c r="G8" s="32">
        <f t="shared" si="3"/>
        <v>0.705092842</v>
      </c>
    </row>
    <row r="9">
      <c r="A9" s="17" t="s">
        <v>244</v>
      </c>
      <c r="B9" s="28">
        <f>SUMIFS(Data!$R$2:$R$51,Data!$C$2:$C$51,A9)/1000</f>
        <v>2085.1275</v>
      </c>
      <c r="C9" s="28">
        <f t="shared" si="1"/>
        <v>171.0487985</v>
      </c>
      <c r="D9" s="28">
        <f>SUMIFS(Data!$S$2:$S$51,Data!$C$2:$C$51,A9)/1000</f>
        <v>147.7227079</v>
      </c>
      <c r="E9" s="28">
        <f>SUMIFS(Data!$T$2:$T$51,Data!$C$2:$C$51,A9)/1000</f>
        <v>23.3260906</v>
      </c>
      <c r="F9" s="32">
        <f t="shared" si="2"/>
        <v>0.8636290298</v>
      </c>
      <c r="G9" s="32">
        <f t="shared" si="3"/>
        <v>0.1363709702</v>
      </c>
    </row>
    <row r="10">
      <c r="A10" s="17" t="s">
        <v>249</v>
      </c>
      <c r="B10" s="28">
        <f>SUMIFS(Data!$R$2:$R$51,Data!$C$2:$C$51,A10)/1000</f>
        <v>640.82789</v>
      </c>
      <c r="C10" s="28">
        <f t="shared" si="1"/>
        <v>46.9189524</v>
      </c>
      <c r="D10" s="28">
        <f>SUMIFS(Data!$S$2:$S$51,Data!$C$2:$C$51,A10)/1000</f>
        <v>45.3631212</v>
      </c>
      <c r="E10" s="28">
        <f>SUMIFS(Data!$T$2:$T$51,Data!$C$2:$C$51,A10)/1000</f>
        <v>1.5558312</v>
      </c>
      <c r="F10" s="32">
        <f t="shared" si="2"/>
        <v>0.9668400269</v>
      </c>
      <c r="G10" s="32">
        <f t="shared" si="3"/>
        <v>0.03315997311</v>
      </c>
    </row>
    <row r="11">
      <c r="A11" s="17" t="s">
        <v>258</v>
      </c>
      <c r="B11" s="28">
        <f>SUMIFS(Data!$R$2:$R$51,Data!$C$2:$C$51,A11)/1000</f>
        <v>535.95609</v>
      </c>
      <c r="C11" s="28">
        <f t="shared" si="1"/>
        <v>51.6621417</v>
      </c>
      <c r="D11" s="28">
        <f>SUMIFS(Data!$S$2:$S$51,Data!$C$2:$C$51,A11)/1000</f>
        <v>0</v>
      </c>
      <c r="E11" s="28">
        <f>SUMIFS(Data!$T$2:$T$51,Data!$C$2:$C$51,A11)/1000</f>
        <v>51.6621417</v>
      </c>
      <c r="F11" s="32">
        <f t="shared" si="2"/>
        <v>0</v>
      </c>
      <c r="G11" s="32">
        <f t="shared" si="3"/>
        <v>1</v>
      </c>
    </row>
    <row r="12">
      <c r="A12" s="17" t="s">
        <v>260</v>
      </c>
      <c r="B12" s="28">
        <f>SUMIFS(Data!$R$2:$R$51,Data!$C$2:$C$51,A12)/1000</f>
        <v>277.1644</v>
      </c>
      <c r="C12" s="28">
        <f t="shared" si="1"/>
        <v>57.465004</v>
      </c>
      <c r="D12" s="28">
        <f>SUMIFS(Data!$S$2:$S$51,Data!$C$2:$C$51,A12)/1000</f>
        <v>2.366464</v>
      </c>
      <c r="E12" s="28">
        <f>SUMIFS(Data!$T$2:$T$51,Data!$C$2:$C$51,A12)/1000</f>
        <v>55.09854</v>
      </c>
      <c r="F12" s="32">
        <f t="shared" si="2"/>
        <v>0.04118095946</v>
      </c>
      <c r="G12" s="32">
        <f t="shared" si="3"/>
        <v>0.9588190405</v>
      </c>
    </row>
    <row r="13">
      <c r="A13" s="17" t="s">
        <v>265</v>
      </c>
      <c r="B13" s="28">
        <f>SUMIFS(Data!$R$2:$R$51,Data!$C$2:$C$51,A13)/1000</f>
        <v>150.36255</v>
      </c>
      <c r="C13" s="28">
        <f t="shared" si="1"/>
        <v>21.050757</v>
      </c>
      <c r="D13" s="28">
        <f>SUMIFS(Data!$S$2:$S$51,Data!$C$2:$C$51,A13)/1000</f>
        <v>10.5253785</v>
      </c>
      <c r="E13" s="28">
        <f>SUMIFS(Data!$T$2:$T$51,Data!$C$2:$C$51,A13)/1000</f>
        <v>10.5253785</v>
      </c>
      <c r="F13" s="32">
        <f t="shared" si="2"/>
        <v>0.5</v>
      </c>
      <c r="G13" s="32">
        <f t="shared" si="3"/>
        <v>0.5</v>
      </c>
    </row>
    <row r="14">
      <c r="A14" s="55"/>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autoFilter ref="$A$3:$G$13"/>
  <mergeCells count="1">
    <mergeCell ref="A1:G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5.0"/>
    <col customWidth="1" min="2" max="2" width="44.0"/>
    <col customWidth="1" min="3" max="3" width="20.0"/>
    <col customWidth="1" min="4" max="4" width="26.0"/>
    <col customWidth="1" min="5" max="5" width="10.0"/>
    <col customWidth="1" min="6" max="6" width="15.0"/>
    <col customWidth="1" min="7" max="7" width="16.0"/>
    <col customWidth="1" min="8" max="8" width="15.0"/>
    <col customWidth="1" min="9" max="10" width="16.0"/>
    <col customWidth="1" min="11" max="11" width="15.0"/>
  </cols>
  <sheetData>
    <row r="1" ht="25.5" customHeight="1">
      <c r="A1" s="58" t="s">
        <v>247</v>
      </c>
      <c r="B1" s="4"/>
      <c r="C1" s="4"/>
      <c r="D1" s="4"/>
      <c r="E1" s="4"/>
      <c r="F1" s="4"/>
      <c r="G1" s="4"/>
      <c r="H1" s="4"/>
      <c r="I1" s="4"/>
      <c r="J1" s="4"/>
      <c r="K1" s="4"/>
    </row>
    <row r="3" ht="21.75" customHeight="1">
      <c r="A3" s="24" t="s">
        <v>248</v>
      </c>
      <c r="B3" s="4"/>
      <c r="C3" s="4"/>
      <c r="D3" s="4"/>
      <c r="E3" s="4"/>
      <c r="F3" s="4"/>
      <c r="G3" s="4"/>
      <c r="H3" s="4"/>
      <c r="I3" s="4"/>
      <c r="J3" s="4"/>
      <c r="K3" s="4"/>
    </row>
    <row r="5" ht="30.0" customHeight="1">
      <c r="A5" s="18" t="s">
        <v>30</v>
      </c>
      <c r="B5" s="18" t="s">
        <v>31</v>
      </c>
      <c r="C5" s="18" t="s">
        <v>232</v>
      </c>
      <c r="D5" s="18" t="s">
        <v>243</v>
      </c>
      <c r="E5" s="18" t="s">
        <v>250</v>
      </c>
      <c r="F5" s="18" t="s">
        <v>251</v>
      </c>
      <c r="G5" s="18" t="s">
        <v>252</v>
      </c>
      <c r="H5" s="18" t="s">
        <v>253</v>
      </c>
      <c r="I5" s="18" t="s">
        <v>146</v>
      </c>
      <c r="J5" s="18" t="s">
        <v>147</v>
      </c>
      <c r="K5" s="18" t="s">
        <v>254</v>
      </c>
    </row>
    <row r="6">
      <c r="A6" s="17" t="s">
        <v>37</v>
      </c>
      <c r="B6" s="17" t="s">
        <v>38</v>
      </c>
      <c r="C6" s="17" t="s">
        <v>244</v>
      </c>
      <c r="D6" s="17" t="s">
        <v>255</v>
      </c>
      <c r="E6" s="17" t="s">
        <v>256</v>
      </c>
      <c r="F6" s="59">
        <f>Data!O12</f>
        <v>1</v>
      </c>
      <c r="G6" s="28">
        <f>Data!Q12</f>
        <v>844378</v>
      </c>
      <c r="H6" s="60">
        <f>Data!L12</f>
        <v>11</v>
      </c>
      <c r="I6" s="61">
        <f>Data!S12/1000</f>
        <v>92.88158</v>
      </c>
      <c r="J6" s="61">
        <f>Data!T12/1000</f>
        <v>0</v>
      </c>
      <c r="K6" s="32">
        <f t="shared" ref="K6:K26" si="1">IF(I6+J6=0,"",I6/(I6+J6))</f>
        <v>1</v>
      </c>
    </row>
    <row r="7">
      <c r="A7" s="17" t="s">
        <v>87</v>
      </c>
      <c r="B7" s="17" t="s">
        <v>88</v>
      </c>
      <c r="C7" s="17" t="s">
        <v>261</v>
      </c>
      <c r="D7" s="17" t="s">
        <v>255</v>
      </c>
      <c r="E7" s="17" t="s">
        <v>256</v>
      </c>
      <c r="F7" s="59">
        <f>Data!O19</f>
        <v>1</v>
      </c>
      <c r="G7" s="28">
        <f>Data!Q19</f>
        <v>477413</v>
      </c>
      <c r="H7" s="60">
        <f>Data!L19</f>
        <v>11</v>
      </c>
      <c r="I7" s="61">
        <f>Data!S19/1000</f>
        <v>52.51543</v>
      </c>
      <c r="J7" s="61">
        <f>Data!T19/1000</f>
        <v>0</v>
      </c>
      <c r="K7" s="32">
        <f t="shared" si="1"/>
        <v>1</v>
      </c>
    </row>
    <row r="8">
      <c r="A8" s="17" t="s">
        <v>35</v>
      </c>
      <c r="B8" s="17" t="s">
        <v>36</v>
      </c>
      <c r="C8" s="17" t="s">
        <v>234</v>
      </c>
      <c r="D8" s="17" t="s">
        <v>257</v>
      </c>
      <c r="E8" s="17" t="s">
        <v>264</v>
      </c>
      <c r="F8" s="59">
        <f>Data!O3</f>
        <v>5</v>
      </c>
      <c r="G8" s="28">
        <f>Data!Q3</f>
        <v>952660</v>
      </c>
      <c r="H8" s="60">
        <f>Data!L3</f>
        <v>1.06</v>
      </c>
      <c r="I8" s="61">
        <f>Data!S3/1000</f>
        <v>50.49098</v>
      </c>
      <c r="J8" s="61">
        <f>Data!T3/1000</f>
        <v>0</v>
      </c>
      <c r="K8" s="32">
        <f t="shared" si="1"/>
        <v>1</v>
      </c>
    </row>
    <row r="9">
      <c r="A9" s="17" t="s">
        <v>51</v>
      </c>
      <c r="B9" s="17" t="s">
        <v>52</v>
      </c>
      <c r="C9" s="17" t="s">
        <v>261</v>
      </c>
      <c r="D9" s="17" t="s">
        <v>266</v>
      </c>
      <c r="E9" s="17" t="s">
        <v>256</v>
      </c>
      <c r="F9" s="59">
        <f>Data!O17</f>
        <v>0.825</v>
      </c>
      <c r="G9" s="28">
        <f>Data!Q17</f>
        <v>626365</v>
      </c>
      <c r="H9" s="60">
        <f>Data!L17</f>
        <v>9.2</v>
      </c>
      <c r="I9" s="61">
        <f>Data!S17/1000</f>
        <v>47.5411035</v>
      </c>
      <c r="J9" s="61">
        <f>Data!T17/1000</f>
        <v>0</v>
      </c>
      <c r="K9" s="32">
        <f t="shared" si="1"/>
        <v>1</v>
      </c>
    </row>
    <row r="10">
      <c r="A10" s="17" t="s">
        <v>99</v>
      </c>
      <c r="B10" s="17" t="s">
        <v>100</v>
      </c>
      <c r="C10" s="17" t="s">
        <v>240</v>
      </c>
      <c r="D10" s="17" t="s">
        <v>255</v>
      </c>
      <c r="E10" s="17" t="s">
        <v>256</v>
      </c>
      <c r="F10" s="59">
        <f>Data!O21</f>
        <v>1</v>
      </c>
      <c r="G10" s="28">
        <f>Data!Q21</f>
        <v>457427</v>
      </c>
      <c r="H10" s="60">
        <f>Data!L21</f>
        <v>10</v>
      </c>
      <c r="I10" s="61">
        <f>Data!S21/1000</f>
        <v>45.7427</v>
      </c>
      <c r="J10" s="61">
        <f>Data!T21/1000</f>
        <v>0</v>
      </c>
      <c r="K10" s="32">
        <f t="shared" si="1"/>
        <v>1</v>
      </c>
    </row>
    <row r="11">
      <c r="A11" s="17" t="s">
        <v>97</v>
      </c>
      <c r="B11" s="17" t="s">
        <v>98</v>
      </c>
      <c r="C11" s="17" t="s">
        <v>261</v>
      </c>
      <c r="D11" s="17" t="s">
        <v>263</v>
      </c>
      <c r="E11" s="17" t="s">
        <v>268</v>
      </c>
      <c r="F11" s="59">
        <f>Data!O6</f>
        <v>2.5</v>
      </c>
      <c r="G11" s="28">
        <f>Data!Q6</f>
        <v>844378</v>
      </c>
      <c r="H11" s="60">
        <f>Data!L6</f>
        <v>2.13</v>
      </c>
      <c r="I11" s="61">
        <f>Data!S6/1000</f>
        <v>44.9631285</v>
      </c>
      <c r="J11" s="61">
        <f>Data!T6/1000</f>
        <v>0</v>
      </c>
      <c r="K11" s="32">
        <f t="shared" si="1"/>
        <v>1</v>
      </c>
    </row>
    <row r="12">
      <c r="A12" s="17" t="s">
        <v>93</v>
      </c>
      <c r="B12" s="17" t="s">
        <v>94</v>
      </c>
      <c r="C12" s="17" t="s">
        <v>234</v>
      </c>
      <c r="D12" s="17" t="s">
        <v>257</v>
      </c>
      <c r="E12" s="17" t="s">
        <v>264</v>
      </c>
      <c r="F12" s="59">
        <f>Data!O4</f>
        <v>5</v>
      </c>
      <c r="G12" s="28">
        <f>Data!Q4</f>
        <v>847538</v>
      </c>
      <c r="H12" s="60">
        <f>Data!L4</f>
        <v>1.06</v>
      </c>
      <c r="I12" s="61">
        <f>Data!S4/1000</f>
        <v>44.919514</v>
      </c>
      <c r="J12" s="61">
        <f>Data!T4/1000</f>
        <v>0</v>
      </c>
      <c r="K12" s="32">
        <f t="shared" si="1"/>
        <v>1</v>
      </c>
    </row>
    <row r="13">
      <c r="A13" s="17" t="s">
        <v>113</v>
      </c>
      <c r="B13" s="17" t="s">
        <v>114</v>
      </c>
      <c r="C13" s="17" t="s">
        <v>249</v>
      </c>
      <c r="D13" s="17" t="s">
        <v>255</v>
      </c>
      <c r="E13" s="17" t="s">
        <v>256</v>
      </c>
      <c r="F13" s="59">
        <f>Data!O15</f>
        <v>20</v>
      </c>
      <c r="G13" s="28">
        <f>Data!Q15</f>
        <v>31069</v>
      </c>
      <c r="H13" s="60">
        <f>Data!L15</f>
        <v>7.05</v>
      </c>
      <c r="I13" s="61">
        <f>Data!S15/1000</f>
        <v>43.80729</v>
      </c>
      <c r="J13" s="61">
        <f>Data!T15/1000</f>
        <v>0</v>
      </c>
      <c r="K13" s="32">
        <f t="shared" si="1"/>
        <v>1</v>
      </c>
    </row>
    <row r="14">
      <c r="A14" s="17" t="s">
        <v>33</v>
      </c>
      <c r="B14" s="17" t="s">
        <v>34</v>
      </c>
      <c r="C14" s="17" t="s">
        <v>261</v>
      </c>
      <c r="D14" s="17" t="s">
        <v>273</v>
      </c>
      <c r="E14" s="17" t="s">
        <v>274</v>
      </c>
      <c r="F14" s="59">
        <f>Data!O2</f>
        <v>9</v>
      </c>
      <c r="G14" s="28">
        <f>Data!Q2</f>
        <v>844378</v>
      </c>
      <c r="H14" s="60">
        <f>Data!L2</f>
        <v>0.5</v>
      </c>
      <c r="I14" s="61">
        <f>Data!S2/1000</f>
        <v>37.99701</v>
      </c>
      <c r="J14" s="61">
        <f>Data!T2/1000</f>
        <v>0</v>
      </c>
      <c r="K14" s="32">
        <f t="shared" si="1"/>
        <v>1</v>
      </c>
    </row>
    <row r="15">
      <c r="A15" s="17" t="s">
        <v>69</v>
      </c>
      <c r="B15" s="17" t="s">
        <v>70</v>
      </c>
      <c r="C15" s="17" t="s">
        <v>261</v>
      </c>
      <c r="D15" s="17" t="s">
        <v>273</v>
      </c>
      <c r="E15" s="17" t="s">
        <v>274</v>
      </c>
      <c r="F15" s="59">
        <f>Data!O38</f>
        <v>1</v>
      </c>
      <c r="G15" s="28">
        <f>Data!Q38</f>
        <v>147704</v>
      </c>
      <c r="H15" s="60">
        <f>Data!L38</f>
        <v>14.4</v>
      </c>
      <c r="I15" s="61">
        <f>Data!S38/1000</f>
        <v>21.269376</v>
      </c>
      <c r="J15" s="61">
        <f>Data!T38/1000</f>
        <v>0</v>
      </c>
      <c r="K15" s="32">
        <f t="shared" si="1"/>
        <v>1</v>
      </c>
    </row>
    <row r="16">
      <c r="A16" s="17" t="s">
        <v>53</v>
      </c>
      <c r="B16" s="17" t="s">
        <v>54</v>
      </c>
      <c r="C16" s="17" t="s">
        <v>261</v>
      </c>
      <c r="D16" s="17" t="s">
        <v>277</v>
      </c>
      <c r="E16" s="17" t="s">
        <v>278</v>
      </c>
      <c r="F16" s="59">
        <f>Data!O34</f>
        <v>0.8</v>
      </c>
      <c r="G16" s="28">
        <f>Data!Q34</f>
        <v>217219</v>
      </c>
      <c r="H16" s="60">
        <f>Data!L34</f>
        <v>11</v>
      </c>
      <c r="I16" s="61">
        <f>Data!S34/1000</f>
        <v>19.115272</v>
      </c>
      <c r="J16" s="61">
        <f>Data!T34/1000</f>
        <v>0</v>
      </c>
      <c r="K16" s="32">
        <f t="shared" si="1"/>
        <v>1</v>
      </c>
    </row>
    <row r="17">
      <c r="A17" s="17" t="s">
        <v>43</v>
      </c>
      <c r="B17" s="17" t="s">
        <v>44</v>
      </c>
      <c r="C17" s="17" t="s">
        <v>261</v>
      </c>
      <c r="D17" s="17" t="s">
        <v>280</v>
      </c>
      <c r="E17" s="17" t="s">
        <v>278</v>
      </c>
      <c r="F17" s="59">
        <f>Data!O43</f>
        <v>0.5</v>
      </c>
      <c r="G17" s="28">
        <f>Data!Q43</f>
        <v>142595</v>
      </c>
      <c r="H17" s="60">
        <f>Data!L43</f>
        <v>26</v>
      </c>
      <c r="I17" s="61">
        <f>Data!S43/1000</f>
        <v>18.53735</v>
      </c>
      <c r="J17" s="61">
        <f>Data!T43/1000</f>
        <v>0</v>
      </c>
      <c r="K17" s="32">
        <f t="shared" si="1"/>
        <v>1</v>
      </c>
    </row>
    <row r="18" ht="15.75" customHeight="1">
      <c r="A18" s="17" t="s">
        <v>107</v>
      </c>
      <c r="B18" s="17" t="s">
        <v>108</v>
      </c>
      <c r="C18" s="17" t="s">
        <v>261</v>
      </c>
      <c r="D18" s="17" t="s">
        <v>280</v>
      </c>
      <c r="E18" s="17" t="s">
        <v>278</v>
      </c>
      <c r="F18" s="59">
        <f>Data!O44</f>
        <v>0.2</v>
      </c>
      <c r="G18" s="28">
        <f>Data!Q44</f>
        <v>309028</v>
      </c>
      <c r="H18" s="60">
        <f>Data!L44</f>
        <v>29</v>
      </c>
      <c r="I18" s="61">
        <f>Data!S44/1000</f>
        <v>17.923624</v>
      </c>
      <c r="J18" s="61">
        <f>Data!T44/1000</f>
        <v>0</v>
      </c>
      <c r="K18" s="32">
        <f t="shared" si="1"/>
        <v>1</v>
      </c>
    </row>
    <row r="19" ht="15.75" customHeight="1">
      <c r="A19" s="17" t="s">
        <v>81</v>
      </c>
      <c r="B19" s="17" t="s">
        <v>82</v>
      </c>
      <c r="C19" s="17" t="s">
        <v>234</v>
      </c>
      <c r="D19" s="17" t="s">
        <v>273</v>
      </c>
      <c r="E19" s="17" t="s">
        <v>274</v>
      </c>
      <c r="F19" s="59">
        <f>Data!O41</f>
        <v>1</v>
      </c>
      <c r="G19" s="28">
        <f>Data!Q41</f>
        <v>120668</v>
      </c>
      <c r="H19" s="60">
        <f>Data!L41</f>
        <v>14.4</v>
      </c>
      <c r="I19" s="61">
        <f>Data!S41/1000</f>
        <v>17.376192</v>
      </c>
      <c r="J19" s="61">
        <f>Data!T41/1000</f>
        <v>0</v>
      </c>
      <c r="K19" s="32">
        <f t="shared" si="1"/>
        <v>1</v>
      </c>
    </row>
    <row r="20" ht="15.75" customHeight="1">
      <c r="A20" s="17" t="s">
        <v>109</v>
      </c>
      <c r="B20" s="17" t="s">
        <v>110</v>
      </c>
      <c r="C20" s="17" t="s">
        <v>234</v>
      </c>
      <c r="D20" s="17" t="s">
        <v>273</v>
      </c>
      <c r="E20" s="17" t="s">
        <v>274</v>
      </c>
      <c r="F20" s="59">
        <f>Data!O20</f>
        <v>1</v>
      </c>
      <c r="G20" s="28">
        <f>Data!Q20</f>
        <v>457427</v>
      </c>
      <c r="H20" s="60">
        <f>Data!L20</f>
        <v>3.3</v>
      </c>
      <c r="I20" s="61">
        <f>Data!S20/1000</f>
        <v>15.095091</v>
      </c>
      <c r="J20" s="61">
        <f>Data!T20/1000</f>
        <v>0</v>
      </c>
      <c r="K20" s="32">
        <f t="shared" si="1"/>
        <v>1</v>
      </c>
    </row>
    <row r="21" ht="15.75" customHeight="1">
      <c r="A21" s="17" t="s">
        <v>55</v>
      </c>
      <c r="B21" s="17" t="s">
        <v>56</v>
      </c>
      <c r="C21" s="17" t="s">
        <v>240</v>
      </c>
      <c r="D21" s="17" t="s">
        <v>281</v>
      </c>
      <c r="E21" s="17" t="s">
        <v>283</v>
      </c>
      <c r="F21" s="59">
        <f>Data!O33</f>
        <v>1</v>
      </c>
      <c r="G21" s="28">
        <f>Data!Q33</f>
        <v>178885</v>
      </c>
      <c r="H21" s="60">
        <f>Data!L33</f>
        <v>7</v>
      </c>
      <c r="I21" s="61">
        <f>Data!S33/1000</f>
        <v>12.52195</v>
      </c>
      <c r="J21" s="61">
        <f>Data!T33/1000</f>
        <v>0</v>
      </c>
      <c r="K21" s="32">
        <f t="shared" si="1"/>
        <v>1</v>
      </c>
    </row>
    <row r="22" ht="15.75" customHeight="1">
      <c r="A22" s="17" t="s">
        <v>49</v>
      </c>
      <c r="B22" s="17" t="s">
        <v>50</v>
      </c>
      <c r="C22" s="17" t="s">
        <v>236</v>
      </c>
      <c r="D22" s="17" t="s">
        <v>285</v>
      </c>
      <c r="E22" s="17" t="s">
        <v>278</v>
      </c>
      <c r="F22" s="59">
        <f>Data!O47</f>
        <v>5</v>
      </c>
      <c r="G22" s="28">
        <f>Data!Q47</f>
        <v>7632</v>
      </c>
      <c r="H22" s="60">
        <f>Data!L47</f>
        <v>30</v>
      </c>
      <c r="I22" s="61">
        <f>Data!S47/1000</f>
        <v>11.448</v>
      </c>
      <c r="J22" s="61">
        <f>Data!T47/1000</f>
        <v>0</v>
      </c>
      <c r="K22" s="32">
        <f t="shared" si="1"/>
        <v>1</v>
      </c>
    </row>
    <row r="23" ht="15.75" customHeight="1">
      <c r="A23" s="17" t="s">
        <v>75</v>
      </c>
      <c r="B23" s="17" t="s">
        <v>76</v>
      </c>
      <c r="C23" s="17" t="s">
        <v>261</v>
      </c>
      <c r="D23" s="17" t="s">
        <v>309</v>
      </c>
      <c r="E23" s="17" t="s">
        <v>310</v>
      </c>
      <c r="F23" s="59">
        <f>Data!O48</f>
        <v>0.5</v>
      </c>
      <c r="G23" s="28">
        <f>Data!Q48</f>
        <v>65819</v>
      </c>
      <c r="H23" s="60">
        <f>Data!L48</f>
        <v>25</v>
      </c>
      <c r="I23" s="61">
        <f>Data!S48/1000</f>
        <v>8.227375</v>
      </c>
      <c r="J23" s="61">
        <f>Data!T48/1000</f>
        <v>0</v>
      </c>
      <c r="K23" s="32">
        <f t="shared" si="1"/>
        <v>1</v>
      </c>
    </row>
    <row r="24" ht="15.75" customHeight="1">
      <c r="A24" s="17" t="s">
        <v>59</v>
      </c>
      <c r="B24" s="17" t="s">
        <v>60</v>
      </c>
      <c r="C24" s="17" t="s">
        <v>260</v>
      </c>
      <c r="D24" s="17" t="s">
        <v>312</v>
      </c>
      <c r="E24" s="17" t="s">
        <v>278</v>
      </c>
      <c r="F24" s="59">
        <f>Data!O50</f>
        <v>0.4</v>
      </c>
      <c r="G24" s="28">
        <f>Data!Q50</f>
        <v>36976</v>
      </c>
      <c r="H24" s="60">
        <f>Data!L50</f>
        <v>16</v>
      </c>
      <c r="I24" s="61">
        <f>Data!S50/1000</f>
        <v>2.366464</v>
      </c>
      <c r="J24" s="61">
        <f>Data!T50/1000</f>
        <v>0</v>
      </c>
      <c r="K24" s="32">
        <f t="shared" si="1"/>
        <v>1</v>
      </c>
    </row>
    <row r="25" ht="15.75" customHeight="1">
      <c r="A25" s="17" t="s">
        <v>41</v>
      </c>
      <c r="B25" s="17" t="s">
        <v>42</v>
      </c>
      <c r="C25" s="17" t="s">
        <v>261</v>
      </c>
      <c r="D25" s="17" t="s">
        <v>275</v>
      </c>
      <c r="E25" s="17" t="s">
        <v>314</v>
      </c>
      <c r="F25" s="59">
        <f>Data!O23</f>
        <v>0.92</v>
      </c>
      <c r="G25" s="28">
        <f>Data!Q23</f>
        <v>457427</v>
      </c>
      <c r="H25" s="60">
        <f>Data!L23</f>
        <v>0.5</v>
      </c>
      <c r="I25" s="61">
        <f>Data!S23/1000</f>
        <v>2.1041642</v>
      </c>
      <c r="J25" s="61">
        <f>Data!T23/1000</f>
        <v>0</v>
      </c>
      <c r="K25" s="32">
        <f t="shared" si="1"/>
        <v>1</v>
      </c>
    </row>
    <row r="26" ht="15.75" customHeight="1">
      <c r="A26" s="17" t="s">
        <v>91</v>
      </c>
      <c r="B26" s="17" t="s">
        <v>92</v>
      </c>
      <c r="C26" s="17" t="s">
        <v>261</v>
      </c>
      <c r="D26" s="17" t="s">
        <v>275</v>
      </c>
      <c r="E26" s="17" t="s">
        <v>314</v>
      </c>
      <c r="F26" s="59">
        <f>Data!O25</f>
        <v>0.94</v>
      </c>
      <c r="G26" s="28">
        <f>Data!Q25</f>
        <v>348272</v>
      </c>
      <c r="H26" s="60">
        <f>Data!L25</f>
        <v>0.5</v>
      </c>
      <c r="I26" s="61">
        <f>Data!S25/1000</f>
        <v>1.6368784</v>
      </c>
      <c r="J26" s="61">
        <f>Data!T25/1000</f>
        <v>0</v>
      </c>
      <c r="K26" s="32">
        <f t="shared" si="1"/>
        <v>1</v>
      </c>
    </row>
    <row r="27" ht="15.75" customHeight="1"/>
    <row r="28" ht="15.75" customHeight="1"/>
    <row r="29" ht="21.75" customHeight="1">
      <c r="A29" s="63" t="s">
        <v>324</v>
      </c>
      <c r="B29" s="4"/>
      <c r="C29" s="4"/>
      <c r="D29" s="4"/>
      <c r="E29" s="4"/>
      <c r="F29" s="4"/>
      <c r="G29" s="4"/>
      <c r="H29" s="4"/>
      <c r="I29" s="4"/>
      <c r="J29" s="4"/>
      <c r="K29" s="4"/>
    </row>
    <row r="30" ht="15.75" customHeight="1"/>
    <row r="31" ht="30.0" customHeight="1">
      <c r="A31" s="18" t="s">
        <v>30</v>
      </c>
      <c r="B31" s="18" t="s">
        <v>31</v>
      </c>
      <c r="C31" s="18" t="s">
        <v>232</v>
      </c>
      <c r="D31" s="18" t="s">
        <v>243</v>
      </c>
      <c r="E31" s="18" t="s">
        <v>250</v>
      </c>
      <c r="F31" s="18" t="s">
        <v>251</v>
      </c>
      <c r="G31" s="18" t="s">
        <v>252</v>
      </c>
      <c r="H31" s="18" t="s">
        <v>253</v>
      </c>
      <c r="I31" s="18" t="s">
        <v>146</v>
      </c>
      <c r="J31" s="18" t="s">
        <v>147</v>
      </c>
      <c r="K31" s="18" t="s">
        <v>254</v>
      </c>
    </row>
    <row r="32" ht="15.75" customHeight="1">
      <c r="A32" s="17" t="s">
        <v>63</v>
      </c>
      <c r="B32" s="17" t="s">
        <v>64</v>
      </c>
      <c r="C32" s="17" t="s">
        <v>239</v>
      </c>
      <c r="D32" s="17" t="s">
        <v>272</v>
      </c>
      <c r="E32" s="17" t="s">
        <v>278</v>
      </c>
      <c r="F32" s="59">
        <f>Data!O18</f>
        <v>0.6</v>
      </c>
      <c r="G32" s="28">
        <f>Data!Q18</f>
        <v>840565</v>
      </c>
      <c r="H32" s="60">
        <f>Data!L18</f>
        <v>22.8</v>
      </c>
      <c r="I32" s="61">
        <f>Data!S18/1000</f>
        <v>0</v>
      </c>
      <c r="J32" s="61">
        <f>Data!T18/1000</f>
        <v>114.989292</v>
      </c>
      <c r="K32" s="32">
        <f t="shared" ref="K32:K52" si="2">IF(I32+J32=0,"",I32/(I32+J32))</f>
        <v>0</v>
      </c>
    </row>
    <row r="33" ht="15.75" customHeight="1">
      <c r="A33" s="17" t="s">
        <v>47</v>
      </c>
      <c r="B33" s="17" t="s">
        <v>48</v>
      </c>
      <c r="C33" s="17" t="s">
        <v>261</v>
      </c>
      <c r="D33" s="17" t="s">
        <v>270</v>
      </c>
      <c r="E33" s="17" t="s">
        <v>278</v>
      </c>
      <c r="F33" s="59">
        <f>Data!O14</f>
        <v>0.75</v>
      </c>
      <c r="G33" s="28">
        <f>Data!Q14</f>
        <v>829747</v>
      </c>
      <c r="H33" s="60">
        <f>Data!L14</f>
        <v>16</v>
      </c>
      <c r="I33" s="61">
        <f>Data!S14/1000</f>
        <v>0</v>
      </c>
      <c r="J33" s="61">
        <f>Data!T14/1000</f>
        <v>99.56964</v>
      </c>
      <c r="K33" s="32">
        <f t="shared" si="2"/>
        <v>0</v>
      </c>
    </row>
    <row r="34" ht="15.75" customHeight="1">
      <c r="A34" s="17" t="s">
        <v>39</v>
      </c>
      <c r="B34" s="17" t="s">
        <v>40</v>
      </c>
      <c r="C34" s="17" t="s">
        <v>261</v>
      </c>
      <c r="D34" s="17" t="s">
        <v>259</v>
      </c>
      <c r="E34" s="17" t="s">
        <v>283</v>
      </c>
      <c r="F34" s="59">
        <f>Data!O27</f>
        <v>0.35</v>
      </c>
      <c r="G34" s="28">
        <f>Data!Q27</f>
        <v>844378</v>
      </c>
      <c r="H34" s="60">
        <f>Data!L27</f>
        <v>27</v>
      </c>
      <c r="I34" s="61">
        <f>Data!S27/1000</f>
        <v>0</v>
      </c>
      <c r="J34" s="61">
        <f>Data!T27/1000</f>
        <v>79.793721</v>
      </c>
      <c r="K34" s="32">
        <f t="shared" si="2"/>
        <v>0</v>
      </c>
    </row>
    <row r="35" ht="15.75" customHeight="1">
      <c r="A35" s="17" t="s">
        <v>71</v>
      </c>
      <c r="B35" s="17" t="s">
        <v>72</v>
      </c>
      <c r="C35" s="17" t="s">
        <v>240</v>
      </c>
      <c r="D35" s="17" t="s">
        <v>259</v>
      </c>
      <c r="E35" s="17" t="s">
        <v>283</v>
      </c>
      <c r="F35" s="59">
        <f>Data!O11</f>
        <v>6</v>
      </c>
      <c r="G35" s="28">
        <f>Data!Q11</f>
        <v>159879</v>
      </c>
      <c r="H35" s="60">
        <f>Data!L11</f>
        <v>8.3</v>
      </c>
      <c r="I35" s="61">
        <f>Data!S11/1000</f>
        <v>0</v>
      </c>
      <c r="J35" s="61">
        <f>Data!T11/1000</f>
        <v>79.619742</v>
      </c>
      <c r="K35" s="32">
        <f t="shared" si="2"/>
        <v>0</v>
      </c>
    </row>
    <row r="36" ht="15.75" customHeight="1">
      <c r="A36" s="17" t="s">
        <v>89</v>
      </c>
      <c r="B36" s="17" t="s">
        <v>90</v>
      </c>
      <c r="C36" s="17" t="s">
        <v>236</v>
      </c>
      <c r="D36" s="17" t="s">
        <v>259</v>
      </c>
      <c r="E36" s="17" t="s">
        <v>283</v>
      </c>
      <c r="F36" s="59">
        <f>Data!O5</f>
        <v>8</v>
      </c>
      <c r="G36" s="28">
        <f>Data!Q5</f>
        <v>292336</v>
      </c>
      <c r="H36" s="60">
        <f>Data!L5</f>
        <v>3.3</v>
      </c>
      <c r="I36" s="61">
        <f>Data!S5/1000</f>
        <v>0</v>
      </c>
      <c r="J36" s="61">
        <f>Data!T5/1000</f>
        <v>77.176704</v>
      </c>
      <c r="K36" s="32">
        <f t="shared" si="2"/>
        <v>0</v>
      </c>
    </row>
    <row r="37" ht="15.75" customHeight="1">
      <c r="A37" s="17" t="s">
        <v>103</v>
      </c>
      <c r="B37" s="17" t="s">
        <v>104</v>
      </c>
      <c r="C37" s="17" t="s">
        <v>261</v>
      </c>
      <c r="D37" s="17" t="s">
        <v>259</v>
      </c>
      <c r="E37" s="17" t="s">
        <v>283</v>
      </c>
      <c r="F37" s="59">
        <f>Data!O29</f>
        <v>0.5</v>
      </c>
      <c r="G37" s="28">
        <f>Data!Q29</f>
        <v>541283</v>
      </c>
      <c r="H37" s="60">
        <f>Data!L29</f>
        <v>27</v>
      </c>
      <c r="I37" s="61">
        <f>Data!S29/1000</f>
        <v>0</v>
      </c>
      <c r="J37" s="61">
        <f>Data!T29/1000</f>
        <v>73.073205</v>
      </c>
      <c r="K37" s="32">
        <f t="shared" si="2"/>
        <v>0</v>
      </c>
    </row>
    <row r="38" ht="15.75" customHeight="1">
      <c r="A38" s="17" t="s">
        <v>61</v>
      </c>
      <c r="B38" s="17" t="s">
        <v>62</v>
      </c>
      <c r="C38" s="17" t="s">
        <v>234</v>
      </c>
      <c r="D38" s="17" t="s">
        <v>279</v>
      </c>
      <c r="E38" s="17" t="s">
        <v>278</v>
      </c>
      <c r="F38" s="59">
        <f>Data!O26</f>
        <v>1</v>
      </c>
      <c r="G38" s="28">
        <f>Data!Q26</f>
        <v>308135</v>
      </c>
      <c r="H38" s="60">
        <f>Data!L26</f>
        <v>22.1</v>
      </c>
      <c r="I38" s="61">
        <f>Data!S26/1000</f>
        <v>0</v>
      </c>
      <c r="J38" s="61">
        <f>Data!T26/1000</f>
        <v>68.097835</v>
      </c>
      <c r="K38" s="32">
        <f t="shared" si="2"/>
        <v>0</v>
      </c>
    </row>
    <row r="39" ht="15.75" customHeight="1">
      <c r="A39" s="17" t="s">
        <v>115</v>
      </c>
      <c r="B39" s="17" t="s">
        <v>116</v>
      </c>
      <c r="C39" s="17" t="s">
        <v>261</v>
      </c>
      <c r="D39" s="17" t="s">
        <v>259</v>
      </c>
      <c r="E39" s="17" t="s">
        <v>283</v>
      </c>
      <c r="F39" s="59">
        <f>Data!O7</f>
        <v>10</v>
      </c>
      <c r="G39" s="28">
        <f>Data!Q7</f>
        <v>195917</v>
      </c>
      <c r="H39" s="60">
        <f>Data!L7</f>
        <v>3.2</v>
      </c>
      <c r="I39" s="61">
        <f>Data!S7/1000</f>
        <v>0</v>
      </c>
      <c r="J39" s="61">
        <f>Data!T7/1000</f>
        <v>62.69344</v>
      </c>
      <c r="K39" s="32">
        <f t="shared" si="2"/>
        <v>0</v>
      </c>
    </row>
    <row r="40" ht="15.75" customHeight="1">
      <c r="A40" s="17" t="s">
        <v>95</v>
      </c>
      <c r="B40" s="17" t="s">
        <v>96</v>
      </c>
      <c r="C40" s="17" t="s">
        <v>240</v>
      </c>
      <c r="D40" s="17" t="s">
        <v>270</v>
      </c>
      <c r="E40" s="17" t="s">
        <v>278</v>
      </c>
      <c r="F40" s="59">
        <f>Data!O22</f>
        <v>0.932</v>
      </c>
      <c r="G40" s="28">
        <f>Data!Q22</f>
        <v>457427</v>
      </c>
      <c r="H40" s="60">
        <f>Data!L22</f>
        <v>14</v>
      </c>
      <c r="I40" s="61">
        <f>Data!S22/1000</f>
        <v>0</v>
      </c>
      <c r="J40" s="61">
        <f>Data!T22/1000</f>
        <v>59.68507496</v>
      </c>
      <c r="K40" s="32">
        <f t="shared" si="2"/>
        <v>0</v>
      </c>
    </row>
    <row r="41" ht="15.75" customHeight="1">
      <c r="A41" s="17" t="s">
        <v>117</v>
      </c>
      <c r="B41" s="17" t="s">
        <v>118</v>
      </c>
      <c r="C41" s="17" t="s">
        <v>236</v>
      </c>
      <c r="D41" s="17" t="s">
        <v>259</v>
      </c>
      <c r="E41" s="17" t="s">
        <v>283</v>
      </c>
      <c r="F41" s="59">
        <f>Data!O8</f>
        <v>10</v>
      </c>
      <c r="G41" s="28">
        <f>Data!Q8</f>
        <v>180346</v>
      </c>
      <c r="H41" s="60">
        <f>Data!L8</f>
        <v>3.3</v>
      </c>
      <c r="I41" s="61">
        <f>Data!S8/1000</f>
        <v>0</v>
      </c>
      <c r="J41" s="61">
        <f>Data!T8/1000</f>
        <v>59.51418</v>
      </c>
      <c r="K41" s="32">
        <f t="shared" si="2"/>
        <v>0</v>
      </c>
    </row>
    <row r="42" ht="15.75" customHeight="1">
      <c r="A42" s="17" t="s">
        <v>119</v>
      </c>
      <c r="B42" s="17" t="s">
        <v>120</v>
      </c>
      <c r="C42" s="17" t="s">
        <v>234</v>
      </c>
      <c r="D42" s="17" t="s">
        <v>279</v>
      </c>
      <c r="E42" s="17" t="s">
        <v>278</v>
      </c>
      <c r="F42" s="59">
        <f>Data!O31</f>
        <v>1</v>
      </c>
      <c r="G42" s="28">
        <f>Data!Q31</f>
        <v>246471</v>
      </c>
      <c r="H42" s="60">
        <f>Data!L31</f>
        <v>22.5</v>
      </c>
      <c r="I42" s="61">
        <f>Data!S31/1000</f>
        <v>0</v>
      </c>
      <c r="J42" s="61">
        <f>Data!T31/1000</f>
        <v>55.455975</v>
      </c>
      <c r="K42" s="32">
        <f t="shared" si="2"/>
        <v>0</v>
      </c>
    </row>
    <row r="43" ht="15.75" customHeight="1">
      <c r="A43" s="17" t="s">
        <v>121</v>
      </c>
      <c r="B43" s="17" t="s">
        <v>122</v>
      </c>
      <c r="C43" s="17" t="s">
        <v>260</v>
      </c>
      <c r="D43" s="17" t="s">
        <v>272</v>
      </c>
      <c r="E43" s="17" t="s">
        <v>278</v>
      </c>
      <c r="F43" s="59">
        <f>Data!O30</f>
        <v>1.4</v>
      </c>
      <c r="G43" s="28">
        <f>Data!Q30</f>
        <v>187410</v>
      </c>
      <c r="H43" s="60">
        <f>Data!L30</f>
        <v>21</v>
      </c>
      <c r="I43" s="61">
        <f>Data!S30/1000</f>
        <v>0</v>
      </c>
      <c r="J43" s="61">
        <f>Data!T30/1000</f>
        <v>55.09854</v>
      </c>
      <c r="K43" s="32">
        <f t="shared" si="2"/>
        <v>0</v>
      </c>
    </row>
    <row r="44" ht="15.75" customHeight="1">
      <c r="A44" s="17" t="s">
        <v>123</v>
      </c>
      <c r="B44" s="17" t="s">
        <v>124</v>
      </c>
      <c r="C44" s="17" t="s">
        <v>239</v>
      </c>
      <c r="D44" s="17" t="s">
        <v>259</v>
      </c>
      <c r="E44" s="17" t="s">
        <v>283</v>
      </c>
      <c r="F44" s="59">
        <f>Data!O9</f>
        <v>8.26</v>
      </c>
      <c r="G44" s="28">
        <f>Data!Q9</f>
        <v>201862</v>
      </c>
      <c r="H44" s="60">
        <f>Data!L9</f>
        <v>3.3</v>
      </c>
      <c r="I44" s="61">
        <f>Data!S9/1000</f>
        <v>0</v>
      </c>
      <c r="J44" s="61">
        <f>Data!T9/1000</f>
        <v>55.02354396</v>
      </c>
      <c r="K44" s="32">
        <f t="shared" si="2"/>
        <v>0</v>
      </c>
    </row>
    <row r="45" ht="15.75" customHeight="1">
      <c r="A45" s="17" t="s">
        <v>125</v>
      </c>
      <c r="B45" s="17" t="s">
        <v>126</v>
      </c>
      <c r="C45" s="17" t="s">
        <v>261</v>
      </c>
      <c r="D45" s="17" t="s">
        <v>259</v>
      </c>
      <c r="E45" s="17" t="s">
        <v>283</v>
      </c>
      <c r="F45" s="59">
        <f>Data!O10</f>
        <v>8</v>
      </c>
      <c r="G45" s="28">
        <f>Data!Q10</f>
        <v>196790</v>
      </c>
      <c r="H45" s="60">
        <f>Data!L10</f>
        <v>3.3</v>
      </c>
      <c r="I45" s="61">
        <f>Data!S10/1000</f>
        <v>0</v>
      </c>
      <c r="J45" s="61">
        <f>Data!T10/1000</f>
        <v>51.95256</v>
      </c>
      <c r="K45" s="32">
        <f t="shared" si="2"/>
        <v>0</v>
      </c>
    </row>
    <row r="46" ht="15.75" customHeight="1">
      <c r="A46" s="17" t="s">
        <v>127</v>
      </c>
      <c r="B46" s="17" t="s">
        <v>128</v>
      </c>
      <c r="C46" s="17" t="s">
        <v>234</v>
      </c>
      <c r="D46" s="17" t="s">
        <v>279</v>
      </c>
      <c r="E46" s="17" t="s">
        <v>278</v>
      </c>
      <c r="F46" s="59">
        <f>Data!O32</f>
        <v>1</v>
      </c>
      <c r="G46" s="28">
        <f>Data!Q32</f>
        <v>219631</v>
      </c>
      <c r="H46" s="60">
        <f>Data!L32</f>
        <v>23</v>
      </c>
      <c r="I46" s="61">
        <f>Data!S32/1000</f>
        <v>0</v>
      </c>
      <c r="J46" s="61">
        <f>Data!T32/1000</f>
        <v>50.51513</v>
      </c>
      <c r="K46" s="32">
        <f t="shared" si="2"/>
        <v>0</v>
      </c>
    </row>
    <row r="47" ht="15.75" customHeight="1">
      <c r="A47" s="17" t="s">
        <v>129</v>
      </c>
      <c r="B47" s="17" t="s">
        <v>130</v>
      </c>
      <c r="C47" s="17" t="s">
        <v>258</v>
      </c>
      <c r="D47" s="17" t="s">
        <v>270</v>
      </c>
      <c r="E47" s="17" t="s">
        <v>278</v>
      </c>
      <c r="F47" s="59">
        <f>Data!O24</f>
        <v>1.59</v>
      </c>
      <c r="G47" s="28">
        <f>Data!Q24</f>
        <v>242676</v>
      </c>
      <c r="H47" s="60">
        <f>Data!L24</f>
        <v>13</v>
      </c>
      <c r="I47" s="61">
        <f>Data!S24/1000</f>
        <v>0</v>
      </c>
      <c r="J47" s="61">
        <f>Data!T24/1000</f>
        <v>50.1611292</v>
      </c>
      <c r="K47" s="32">
        <f t="shared" si="2"/>
        <v>0</v>
      </c>
    </row>
    <row r="48" ht="15.75" customHeight="1">
      <c r="A48" s="17" t="s">
        <v>131</v>
      </c>
      <c r="B48" s="17" t="s">
        <v>132</v>
      </c>
      <c r="C48" s="17" t="s">
        <v>239</v>
      </c>
      <c r="D48" s="17" t="s">
        <v>272</v>
      </c>
      <c r="E48" s="17" t="s">
        <v>278</v>
      </c>
      <c r="F48" s="59">
        <f>Data!O28</f>
        <v>1</v>
      </c>
      <c r="G48" s="28">
        <f>Data!Q28</f>
        <v>273420</v>
      </c>
      <c r="H48" s="60">
        <f>Data!L28</f>
        <v>18.2</v>
      </c>
      <c r="I48" s="61">
        <f>Data!S28/1000</f>
        <v>0</v>
      </c>
      <c r="J48" s="61">
        <f>Data!T28/1000</f>
        <v>49.76244</v>
      </c>
      <c r="K48" s="32">
        <f t="shared" si="2"/>
        <v>0</v>
      </c>
    </row>
    <row r="49" ht="15.75" customHeight="1">
      <c r="A49" s="17" t="s">
        <v>45</v>
      </c>
      <c r="B49" s="17" t="s">
        <v>46</v>
      </c>
      <c r="C49" s="17" t="s">
        <v>261</v>
      </c>
      <c r="D49" s="17" t="s">
        <v>311</v>
      </c>
      <c r="E49" s="17" t="s">
        <v>278</v>
      </c>
      <c r="F49" s="59">
        <f>Data!O40</f>
        <v>1</v>
      </c>
      <c r="G49" s="28">
        <f>Data!Q40</f>
        <v>131564</v>
      </c>
      <c r="H49" s="60">
        <f>Data!L40</f>
        <v>20</v>
      </c>
      <c r="I49" s="61">
        <f>Data!S40/1000</f>
        <v>0</v>
      </c>
      <c r="J49" s="61">
        <f>Data!T40/1000</f>
        <v>26.3128</v>
      </c>
      <c r="K49" s="32">
        <f t="shared" si="2"/>
        <v>0</v>
      </c>
    </row>
    <row r="50" ht="15.75" customHeight="1">
      <c r="A50" s="17" t="s">
        <v>85</v>
      </c>
      <c r="B50" s="17" t="s">
        <v>86</v>
      </c>
      <c r="C50" s="17" t="s">
        <v>261</v>
      </c>
      <c r="D50" s="17" t="s">
        <v>282</v>
      </c>
      <c r="E50" s="17" t="s">
        <v>310</v>
      </c>
      <c r="F50" s="59">
        <f>Data!O39</f>
        <v>2</v>
      </c>
      <c r="G50" s="28">
        <f>Data!Q39</f>
        <v>71632</v>
      </c>
      <c r="H50" s="60">
        <f>Data!L39</f>
        <v>16</v>
      </c>
      <c r="I50" s="61">
        <f>Data!S39/1000</f>
        <v>0</v>
      </c>
      <c r="J50" s="61">
        <f>Data!T39/1000</f>
        <v>22.92224</v>
      </c>
      <c r="K50" s="32">
        <f t="shared" si="2"/>
        <v>0</v>
      </c>
    </row>
    <row r="51" ht="15.75" customHeight="1">
      <c r="A51" s="17" t="s">
        <v>67</v>
      </c>
      <c r="B51" s="17" t="s">
        <v>68</v>
      </c>
      <c r="C51" s="17" t="s">
        <v>234</v>
      </c>
      <c r="D51" s="17" t="s">
        <v>347</v>
      </c>
      <c r="E51" s="17" t="s">
        <v>278</v>
      </c>
      <c r="F51" s="59">
        <f>Data!O51</f>
        <v>0.5</v>
      </c>
      <c r="G51" s="28">
        <f>Data!Q51</f>
        <v>18788</v>
      </c>
      <c r="H51" s="60">
        <f>Data!L51</f>
        <v>16</v>
      </c>
      <c r="I51" s="61">
        <f>Data!S51/1000</f>
        <v>0</v>
      </c>
      <c r="J51" s="61">
        <f>Data!T51/1000</f>
        <v>1.50304</v>
      </c>
      <c r="K51" s="32">
        <f t="shared" si="2"/>
        <v>0</v>
      </c>
    </row>
    <row r="52" ht="15.75" customHeight="1">
      <c r="A52" s="17" t="s">
        <v>65</v>
      </c>
      <c r="B52" s="17" t="s">
        <v>66</v>
      </c>
      <c r="C52" s="17" t="s">
        <v>258</v>
      </c>
      <c r="D52" s="17" t="s">
        <v>286</v>
      </c>
      <c r="E52" s="17" t="s">
        <v>314</v>
      </c>
      <c r="F52" s="59">
        <f>Data!O37</f>
        <v>0.25</v>
      </c>
      <c r="G52" s="28">
        <f>Data!Q37</f>
        <v>600405</v>
      </c>
      <c r="H52" s="60">
        <f>Data!L37</f>
        <v>1</v>
      </c>
      <c r="I52" s="61">
        <f>Data!S37/1000</f>
        <v>0</v>
      </c>
      <c r="J52" s="61">
        <f>Data!T37/1000</f>
        <v>1.5010125</v>
      </c>
      <c r="K52" s="32">
        <f t="shared" si="2"/>
        <v>0</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3">
    <mergeCell ref="A1:K1"/>
    <mergeCell ref="A3:K3"/>
    <mergeCell ref="A29:K29"/>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5.0"/>
    <col customWidth="1" min="2" max="2" width="42.0"/>
    <col customWidth="1" min="3" max="3" width="22.0"/>
    <col customWidth="1" min="4" max="5" width="26.0"/>
    <col customWidth="1" min="6" max="6" width="11.0"/>
    <col customWidth="1" min="7" max="7" width="24.0"/>
    <col customWidth="1" min="8" max="8" width="14.0"/>
    <col customWidth="1" min="9" max="9" width="16.0"/>
    <col customWidth="1" min="10" max="10" width="20.0"/>
    <col customWidth="1" min="11" max="11" width="26.0"/>
    <col customWidth="1" min="12" max="12" width="13.0"/>
    <col customWidth="1" min="13" max="14" width="12.0"/>
    <col customWidth="1" min="15" max="15" width="13.0"/>
    <col customWidth="1" min="16" max="16" width="12.0"/>
    <col customWidth="1" min="17" max="17" width="16.0"/>
    <col customWidth="1" min="18" max="18" width="14.0"/>
    <col customWidth="1" min="19" max="20" width="16.0"/>
    <col customWidth="1" min="21" max="21" width="60.0"/>
    <col customWidth="1" min="22" max="22" width="15.0"/>
    <col customWidth="1" min="23" max="23" width="18.0"/>
    <col customWidth="1" min="24" max="25" width="15.0"/>
    <col customWidth="1" min="26" max="26" width="26.0"/>
    <col customWidth="1" min="27" max="27" width="34.0"/>
    <col customWidth="1" min="28" max="28" width="12.0"/>
    <col customWidth="1" min="29" max="29" width="16.0"/>
    <col customWidth="1" min="30" max="30" width="22.0"/>
  </cols>
  <sheetData>
    <row r="1" ht="53.25" customHeight="1">
      <c r="A1" s="62" t="s">
        <v>30</v>
      </c>
      <c r="B1" s="62" t="s">
        <v>31</v>
      </c>
      <c r="C1" s="62" t="s">
        <v>232</v>
      </c>
      <c r="D1" s="62" t="s">
        <v>189</v>
      </c>
      <c r="E1" s="62" t="s">
        <v>243</v>
      </c>
      <c r="F1" s="62" t="s">
        <v>250</v>
      </c>
      <c r="G1" s="62" t="s">
        <v>287</v>
      </c>
      <c r="H1" s="62" t="s">
        <v>288</v>
      </c>
      <c r="I1" s="62" t="s">
        <v>289</v>
      </c>
      <c r="J1" s="62" t="s">
        <v>290</v>
      </c>
      <c r="K1" s="62" t="s">
        <v>291</v>
      </c>
      <c r="L1" s="62" t="s">
        <v>253</v>
      </c>
      <c r="M1" s="62" t="s">
        <v>292</v>
      </c>
      <c r="N1" s="62" t="s">
        <v>293</v>
      </c>
      <c r="O1" s="62" t="s">
        <v>251</v>
      </c>
      <c r="P1" s="62" t="s">
        <v>29</v>
      </c>
      <c r="Q1" s="62" t="s">
        <v>252</v>
      </c>
      <c r="R1" s="62" t="s">
        <v>294</v>
      </c>
      <c r="S1" s="62" t="s">
        <v>295</v>
      </c>
      <c r="T1" s="62" t="s">
        <v>296</v>
      </c>
      <c r="U1" s="62" t="s">
        <v>297</v>
      </c>
      <c r="V1" s="62" t="s">
        <v>298</v>
      </c>
      <c r="W1" s="62" t="s">
        <v>299</v>
      </c>
      <c r="X1" s="62" t="s">
        <v>300</v>
      </c>
      <c r="Y1" s="62" t="s">
        <v>301</v>
      </c>
      <c r="Z1" s="62" t="s">
        <v>302</v>
      </c>
      <c r="AA1" s="62" t="s">
        <v>303</v>
      </c>
      <c r="AB1" s="62" t="s">
        <v>304</v>
      </c>
      <c r="AC1" s="62" t="s">
        <v>305</v>
      </c>
      <c r="AD1" s="62" t="s">
        <v>306</v>
      </c>
    </row>
    <row r="2">
      <c r="A2" s="1" t="s">
        <v>33</v>
      </c>
      <c r="B2" s="1" t="s">
        <v>34</v>
      </c>
      <c r="C2" s="1" t="s">
        <v>261</v>
      </c>
      <c r="D2" s="1" t="s">
        <v>307</v>
      </c>
      <c r="E2" s="1" t="s">
        <v>273</v>
      </c>
      <c r="F2" s="1" t="s">
        <v>274</v>
      </c>
      <c r="G2" s="1" t="s">
        <v>274</v>
      </c>
      <c r="H2" s="1" t="s">
        <v>274</v>
      </c>
      <c r="I2" s="1" t="s">
        <v>274</v>
      </c>
      <c r="J2" s="1" t="s">
        <v>274</v>
      </c>
      <c r="K2" s="1" t="s">
        <v>308</v>
      </c>
      <c r="L2" s="1">
        <v>0.5</v>
      </c>
      <c r="M2" s="1">
        <v>0.5</v>
      </c>
      <c r="N2" s="1">
        <v>0.0</v>
      </c>
      <c r="O2" s="1">
        <v>9.0</v>
      </c>
      <c r="P2" s="1">
        <v>1.0</v>
      </c>
      <c r="Q2" s="28">
        <f t="array" ref="Q2:Q1000">IF(A2:A1000="",,IFERROR(VLOOKUP(A2:A1000,Welcome!$B$32:$D1000,3,FALSE),0))</f>
        <v>844378</v>
      </c>
      <c r="R2" s="28">
        <f t="shared" ref="R2:R51" si="1">IF(N(Q2)*N(O2)=0,0,Q2*O2)</f>
        <v>7599402</v>
      </c>
      <c r="S2" s="28">
        <f t="shared" ref="S2:S51" si="2">R2*N(M2)/100</f>
        <v>37997.01</v>
      </c>
      <c r="T2" s="28">
        <f t="shared" ref="T2:T51" si="3">R2*N(N2)/100</f>
        <v>0</v>
      </c>
      <c r="V2" s="1" t="s">
        <v>316</v>
      </c>
      <c r="W2" s="1" t="s">
        <v>317</v>
      </c>
      <c r="X2" s="1" t="s">
        <v>318</v>
      </c>
      <c r="Y2" s="1" t="s">
        <v>319</v>
      </c>
      <c r="Z2" s="1" t="s">
        <v>320</v>
      </c>
      <c r="AA2" s="1" t="s">
        <v>321</v>
      </c>
      <c r="AB2" s="1" t="s">
        <v>322</v>
      </c>
      <c r="AC2" s="1">
        <v>1.0</v>
      </c>
      <c r="AD2" s="28">
        <f t="shared" ref="AD2:AD51" si="4">R2*N(AC2)</f>
        <v>7599402</v>
      </c>
    </row>
    <row r="3">
      <c r="A3" s="1" t="s">
        <v>35</v>
      </c>
      <c r="B3" s="1" t="s">
        <v>36</v>
      </c>
      <c r="C3" s="1" t="s">
        <v>234</v>
      </c>
      <c r="D3" s="1" t="s">
        <v>193</v>
      </c>
      <c r="E3" s="1" t="s">
        <v>257</v>
      </c>
      <c r="F3" s="1" t="s">
        <v>264</v>
      </c>
      <c r="G3" s="1" t="s">
        <v>310</v>
      </c>
      <c r="H3" s="1" t="s">
        <v>323</v>
      </c>
      <c r="I3" s="1" t="s">
        <v>316</v>
      </c>
      <c r="J3" s="1" t="s">
        <v>310</v>
      </c>
      <c r="K3" s="1" t="s">
        <v>308</v>
      </c>
      <c r="L3" s="1">
        <v>1.06</v>
      </c>
      <c r="M3" s="1">
        <v>1.06</v>
      </c>
      <c r="N3" s="1">
        <v>0.0</v>
      </c>
      <c r="O3" s="1">
        <v>5.0</v>
      </c>
      <c r="P3" s="1">
        <v>2.0</v>
      </c>
      <c r="Q3" s="28">
        <v>952660.0</v>
      </c>
      <c r="R3" s="28">
        <f t="shared" si="1"/>
        <v>4763300</v>
      </c>
      <c r="S3" s="28">
        <f t="shared" si="2"/>
        <v>50490.98</v>
      </c>
      <c r="T3" s="28">
        <f t="shared" si="3"/>
        <v>0</v>
      </c>
      <c r="V3" s="1" t="s">
        <v>317</v>
      </c>
      <c r="W3" s="1" t="s">
        <v>317</v>
      </c>
      <c r="X3" s="1" t="s">
        <v>325</v>
      </c>
      <c r="Y3" s="1" t="s">
        <v>325</v>
      </c>
      <c r="Z3" s="1" t="s">
        <v>326</v>
      </c>
      <c r="AA3" s="1" t="s">
        <v>327</v>
      </c>
      <c r="AB3" s="1" t="s">
        <v>328</v>
      </c>
      <c r="AC3" s="1">
        <v>1.0</v>
      </c>
      <c r="AD3" s="28">
        <f t="shared" si="4"/>
        <v>4763300</v>
      </c>
    </row>
    <row r="4">
      <c r="A4" s="1" t="s">
        <v>93</v>
      </c>
      <c r="B4" s="1" t="s">
        <v>94</v>
      </c>
      <c r="C4" s="1" t="s">
        <v>234</v>
      </c>
      <c r="D4" s="1" t="s">
        <v>193</v>
      </c>
      <c r="E4" s="1" t="s">
        <v>257</v>
      </c>
      <c r="F4" s="1" t="s">
        <v>264</v>
      </c>
      <c r="G4" s="1" t="s">
        <v>310</v>
      </c>
      <c r="H4" s="1" t="s">
        <v>323</v>
      </c>
      <c r="I4" s="1" t="s">
        <v>316</v>
      </c>
      <c r="J4" s="1" t="s">
        <v>310</v>
      </c>
      <c r="K4" s="1" t="s">
        <v>308</v>
      </c>
      <c r="L4" s="1">
        <v>1.06</v>
      </c>
      <c r="M4" s="1">
        <v>1.06</v>
      </c>
      <c r="N4" s="1">
        <v>0.0</v>
      </c>
      <c r="O4" s="1">
        <v>5.0</v>
      </c>
      <c r="P4" s="1">
        <v>3.0</v>
      </c>
      <c r="Q4" s="28">
        <v>847538.0</v>
      </c>
      <c r="R4" s="28">
        <f t="shared" si="1"/>
        <v>4237690</v>
      </c>
      <c r="S4" s="28">
        <f t="shared" si="2"/>
        <v>44919.514</v>
      </c>
      <c r="T4" s="28">
        <f t="shared" si="3"/>
        <v>0</v>
      </c>
      <c r="V4" s="1" t="s">
        <v>317</v>
      </c>
      <c r="W4" s="1" t="s">
        <v>317</v>
      </c>
      <c r="X4" s="1" t="s">
        <v>325</v>
      </c>
      <c r="Y4" s="1" t="s">
        <v>325</v>
      </c>
      <c r="Z4" s="1" t="s">
        <v>326</v>
      </c>
      <c r="AA4" s="1" t="s">
        <v>327</v>
      </c>
      <c r="AB4" s="1" t="s">
        <v>328</v>
      </c>
      <c r="AC4" s="1">
        <v>1.0</v>
      </c>
      <c r="AD4" s="28">
        <f t="shared" si="4"/>
        <v>4237690</v>
      </c>
    </row>
    <row r="5">
      <c r="A5" s="1" t="s">
        <v>89</v>
      </c>
      <c r="B5" s="1" t="s">
        <v>90</v>
      </c>
      <c r="C5" s="1" t="s">
        <v>236</v>
      </c>
      <c r="D5" s="1" t="s">
        <v>195</v>
      </c>
      <c r="E5" s="1" t="s">
        <v>259</v>
      </c>
      <c r="F5" s="1" t="s">
        <v>283</v>
      </c>
      <c r="G5" s="1" t="s">
        <v>329</v>
      </c>
      <c r="H5" s="1" t="s">
        <v>330</v>
      </c>
      <c r="I5" s="1" t="s">
        <v>316</v>
      </c>
      <c r="J5" s="1" t="s">
        <v>310</v>
      </c>
      <c r="K5" s="1" t="s">
        <v>331</v>
      </c>
      <c r="L5" s="1">
        <v>3.3</v>
      </c>
      <c r="M5" s="1">
        <v>0.0</v>
      </c>
      <c r="N5" s="1">
        <v>3.3</v>
      </c>
      <c r="O5" s="1">
        <v>8.0</v>
      </c>
      <c r="P5" s="1">
        <v>4.0</v>
      </c>
      <c r="Q5" s="28">
        <v>292336.0</v>
      </c>
      <c r="R5" s="28">
        <f t="shared" si="1"/>
        <v>2338688</v>
      </c>
      <c r="S5" s="28">
        <f t="shared" si="2"/>
        <v>0</v>
      </c>
      <c r="T5" s="28">
        <f t="shared" si="3"/>
        <v>77176.704</v>
      </c>
      <c r="V5" s="1" t="s">
        <v>317</v>
      </c>
      <c r="W5" s="1" t="s">
        <v>317</v>
      </c>
      <c r="X5" s="1" t="s">
        <v>325</v>
      </c>
      <c r="Y5" s="1" t="s">
        <v>325</v>
      </c>
      <c r="Z5" s="1" t="s">
        <v>326</v>
      </c>
      <c r="AA5" s="1" t="s">
        <v>334</v>
      </c>
      <c r="AB5" s="1" t="s">
        <v>328</v>
      </c>
      <c r="AC5" s="1">
        <v>1.0</v>
      </c>
      <c r="AD5" s="28">
        <f t="shared" si="4"/>
        <v>2338688</v>
      </c>
    </row>
    <row r="6">
      <c r="A6" s="1" t="s">
        <v>97</v>
      </c>
      <c r="B6" s="1" t="s">
        <v>98</v>
      </c>
      <c r="C6" s="1" t="s">
        <v>261</v>
      </c>
      <c r="D6" s="1" t="s">
        <v>193</v>
      </c>
      <c r="E6" s="1" t="s">
        <v>263</v>
      </c>
      <c r="F6" s="1" t="s">
        <v>268</v>
      </c>
      <c r="G6" s="1" t="s">
        <v>310</v>
      </c>
      <c r="H6" s="1" t="s">
        <v>323</v>
      </c>
      <c r="I6" s="1" t="s">
        <v>316</v>
      </c>
      <c r="J6" s="1" t="s">
        <v>310</v>
      </c>
      <c r="K6" s="1" t="s">
        <v>308</v>
      </c>
      <c r="L6" s="1">
        <v>2.13</v>
      </c>
      <c r="M6" s="1">
        <v>2.13</v>
      </c>
      <c r="N6" s="1">
        <v>0.0</v>
      </c>
      <c r="O6" s="1">
        <v>2.5</v>
      </c>
      <c r="P6" s="1">
        <v>5.0</v>
      </c>
      <c r="Q6" s="28">
        <v>844378.0</v>
      </c>
      <c r="R6" s="28">
        <f t="shared" si="1"/>
        <v>2110945</v>
      </c>
      <c r="S6" s="28">
        <f t="shared" si="2"/>
        <v>44963.1285</v>
      </c>
      <c r="T6" s="28">
        <f t="shared" si="3"/>
        <v>0</v>
      </c>
      <c r="V6" s="1" t="s">
        <v>317</v>
      </c>
      <c r="W6" s="1" t="s">
        <v>317</v>
      </c>
      <c r="X6" s="1" t="s">
        <v>325</v>
      </c>
      <c r="Y6" s="1" t="s">
        <v>325</v>
      </c>
      <c r="Z6" s="1" t="s">
        <v>326</v>
      </c>
      <c r="AA6" s="1" t="s">
        <v>334</v>
      </c>
      <c r="AB6" s="1" t="s">
        <v>328</v>
      </c>
      <c r="AC6" s="1">
        <v>1.0</v>
      </c>
      <c r="AD6" s="28">
        <f t="shared" si="4"/>
        <v>2110945</v>
      </c>
    </row>
    <row r="7">
      <c r="A7" s="1" t="s">
        <v>115</v>
      </c>
      <c r="B7" s="1" t="s">
        <v>116</v>
      </c>
      <c r="C7" s="1" t="s">
        <v>261</v>
      </c>
      <c r="D7" s="1" t="s">
        <v>195</v>
      </c>
      <c r="E7" s="1" t="s">
        <v>259</v>
      </c>
      <c r="F7" s="1" t="s">
        <v>283</v>
      </c>
      <c r="G7" s="1" t="s">
        <v>329</v>
      </c>
      <c r="H7" s="1" t="s">
        <v>330</v>
      </c>
      <c r="I7" s="1" t="s">
        <v>316</v>
      </c>
      <c r="J7" s="1" t="s">
        <v>310</v>
      </c>
      <c r="K7" s="1" t="s">
        <v>331</v>
      </c>
      <c r="L7" s="1">
        <v>3.2</v>
      </c>
      <c r="M7" s="1">
        <v>0.0</v>
      </c>
      <c r="N7" s="1">
        <v>3.2</v>
      </c>
      <c r="O7" s="1">
        <v>10.0</v>
      </c>
      <c r="P7" s="1">
        <v>6.0</v>
      </c>
      <c r="Q7" s="28">
        <v>195917.0</v>
      </c>
      <c r="R7" s="28">
        <f t="shared" si="1"/>
        <v>1959170</v>
      </c>
      <c r="S7" s="28">
        <f t="shared" si="2"/>
        <v>0</v>
      </c>
      <c r="T7" s="28">
        <f t="shared" si="3"/>
        <v>62693.44</v>
      </c>
      <c r="V7" s="1" t="s">
        <v>317</v>
      </c>
      <c r="W7" s="1" t="s">
        <v>317</v>
      </c>
      <c r="X7" s="1" t="s">
        <v>325</v>
      </c>
      <c r="Y7" s="1" t="s">
        <v>325</v>
      </c>
      <c r="Z7" s="1" t="s">
        <v>326</v>
      </c>
      <c r="AA7" s="1" t="s">
        <v>334</v>
      </c>
      <c r="AB7" s="1" t="s">
        <v>328</v>
      </c>
      <c r="AC7" s="1">
        <v>1.0</v>
      </c>
      <c r="AD7" s="28">
        <f t="shared" si="4"/>
        <v>1959170</v>
      </c>
    </row>
    <row r="8">
      <c r="A8" s="1" t="s">
        <v>117</v>
      </c>
      <c r="B8" s="1" t="s">
        <v>118</v>
      </c>
      <c r="C8" s="1" t="s">
        <v>236</v>
      </c>
      <c r="D8" s="1" t="s">
        <v>195</v>
      </c>
      <c r="E8" s="1" t="s">
        <v>259</v>
      </c>
      <c r="F8" s="1" t="s">
        <v>283</v>
      </c>
      <c r="G8" s="1" t="s">
        <v>329</v>
      </c>
      <c r="H8" s="1" t="s">
        <v>330</v>
      </c>
      <c r="I8" s="1" t="s">
        <v>316</v>
      </c>
      <c r="J8" s="1" t="s">
        <v>310</v>
      </c>
      <c r="K8" s="1" t="s">
        <v>331</v>
      </c>
      <c r="L8" s="1">
        <v>3.3</v>
      </c>
      <c r="M8" s="1">
        <v>0.0</v>
      </c>
      <c r="N8" s="1">
        <v>3.3</v>
      </c>
      <c r="O8" s="1">
        <v>10.0</v>
      </c>
      <c r="P8" s="1">
        <v>7.0</v>
      </c>
      <c r="Q8" s="28">
        <v>180346.0</v>
      </c>
      <c r="R8" s="28">
        <f t="shared" si="1"/>
        <v>1803460</v>
      </c>
      <c r="S8" s="28">
        <f t="shared" si="2"/>
        <v>0</v>
      </c>
      <c r="T8" s="28">
        <f t="shared" si="3"/>
        <v>59514.18</v>
      </c>
      <c r="V8" s="1" t="s">
        <v>317</v>
      </c>
      <c r="W8" s="1" t="s">
        <v>317</v>
      </c>
      <c r="X8" s="1" t="s">
        <v>325</v>
      </c>
      <c r="Y8" s="1" t="s">
        <v>325</v>
      </c>
      <c r="Z8" s="1" t="s">
        <v>326</v>
      </c>
      <c r="AA8" s="1" t="s">
        <v>334</v>
      </c>
      <c r="AB8" s="1" t="s">
        <v>328</v>
      </c>
      <c r="AC8" s="1">
        <v>1.0</v>
      </c>
      <c r="AD8" s="28">
        <f t="shared" si="4"/>
        <v>1803460</v>
      </c>
    </row>
    <row r="9">
      <c r="A9" s="1" t="s">
        <v>123</v>
      </c>
      <c r="B9" s="1" t="s">
        <v>124</v>
      </c>
      <c r="C9" s="1" t="s">
        <v>239</v>
      </c>
      <c r="D9" s="1" t="s">
        <v>195</v>
      </c>
      <c r="E9" s="1" t="s">
        <v>259</v>
      </c>
      <c r="F9" s="1" t="s">
        <v>283</v>
      </c>
      <c r="G9" s="1" t="s">
        <v>329</v>
      </c>
      <c r="H9" s="1" t="s">
        <v>330</v>
      </c>
      <c r="I9" s="1" t="s">
        <v>316</v>
      </c>
      <c r="J9" s="1" t="s">
        <v>310</v>
      </c>
      <c r="K9" s="1" t="s">
        <v>331</v>
      </c>
      <c r="L9" s="1">
        <v>3.3</v>
      </c>
      <c r="M9" s="1">
        <v>0.0</v>
      </c>
      <c r="N9" s="1">
        <v>3.3</v>
      </c>
      <c r="O9" s="1">
        <v>8.26</v>
      </c>
      <c r="P9" s="1">
        <v>8.0</v>
      </c>
      <c r="Q9" s="28">
        <v>201862.0</v>
      </c>
      <c r="R9" s="28">
        <f t="shared" si="1"/>
        <v>1667380.12</v>
      </c>
      <c r="S9" s="28">
        <f t="shared" si="2"/>
        <v>0</v>
      </c>
      <c r="T9" s="28">
        <f t="shared" si="3"/>
        <v>55023.54396</v>
      </c>
      <c r="V9" s="1" t="s">
        <v>317</v>
      </c>
      <c r="W9" s="1" t="s">
        <v>317</v>
      </c>
      <c r="X9" s="1" t="s">
        <v>325</v>
      </c>
      <c r="Y9" s="1" t="s">
        <v>325</v>
      </c>
      <c r="Z9" s="1" t="s">
        <v>336</v>
      </c>
      <c r="AA9" s="1" t="s">
        <v>334</v>
      </c>
      <c r="AB9" s="1" t="s">
        <v>328</v>
      </c>
      <c r="AC9" s="1">
        <v>1.0</v>
      </c>
      <c r="AD9" s="28">
        <f t="shared" si="4"/>
        <v>1667380.12</v>
      </c>
    </row>
    <row r="10">
      <c r="A10" s="1" t="s">
        <v>125</v>
      </c>
      <c r="B10" s="1" t="s">
        <v>126</v>
      </c>
      <c r="C10" s="1" t="s">
        <v>261</v>
      </c>
      <c r="D10" s="1" t="s">
        <v>195</v>
      </c>
      <c r="E10" s="1" t="s">
        <v>259</v>
      </c>
      <c r="F10" s="1" t="s">
        <v>283</v>
      </c>
      <c r="G10" s="1" t="s">
        <v>329</v>
      </c>
      <c r="H10" s="1" t="s">
        <v>330</v>
      </c>
      <c r="I10" s="1" t="s">
        <v>316</v>
      </c>
      <c r="J10" s="1" t="s">
        <v>310</v>
      </c>
      <c r="K10" s="1" t="s">
        <v>331</v>
      </c>
      <c r="L10" s="1">
        <v>3.3</v>
      </c>
      <c r="M10" s="1">
        <v>0.0</v>
      </c>
      <c r="N10" s="1">
        <v>3.3</v>
      </c>
      <c r="O10" s="1">
        <v>8.0</v>
      </c>
      <c r="P10" s="1">
        <v>9.0</v>
      </c>
      <c r="Q10" s="28">
        <v>196790.0</v>
      </c>
      <c r="R10" s="28">
        <f t="shared" si="1"/>
        <v>1574320</v>
      </c>
      <c r="S10" s="28">
        <f t="shared" si="2"/>
        <v>0</v>
      </c>
      <c r="T10" s="28">
        <f t="shared" si="3"/>
        <v>51952.56</v>
      </c>
      <c r="V10" s="1" t="s">
        <v>317</v>
      </c>
      <c r="W10" s="1" t="s">
        <v>317</v>
      </c>
      <c r="X10" s="1" t="s">
        <v>325</v>
      </c>
      <c r="Y10" s="1" t="s">
        <v>325</v>
      </c>
      <c r="Z10" s="1" t="s">
        <v>326</v>
      </c>
      <c r="AA10" s="1" t="s">
        <v>334</v>
      </c>
      <c r="AB10" s="1" t="s">
        <v>328</v>
      </c>
      <c r="AC10" s="1">
        <v>1.0</v>
      </c>
      <c r="AD10" s="28">
        <f t="shared" si="4"/>
        <v>1574320</v>
      </c>
    </row>
    <row r="11">
      <c r="A11" s="1" t="s">
        <v>71</v>
      </c>
      <c r="B11" s="1" t="s">
        <v>72</v>
      </c>
      <c r="C11" s="1" t="s">
        <v>240</v>
      </c>
      <c r="D11" s="1" t="s">
        <v>195</v>
      </c>
      <c r="E11" s="1" t="s">
        <v>259</v>
      </c>
      <c r="F11" s="1" t="s">
        <v>283</v>
      </c>
      <c r="G11" s="1" t="s">
        <v>329</v>
      </c>
      <c r="H11" s="1" t="s">
        <v>330</v>
      </c>
      <c r="I11" s="1" t="s">
        <v>316</v>
      </c>
      <c r="J11" s="1" t="s">
        <v>310</v>
      </c>
      <c r="K11" s="1" t="s">
        <v>331</v>
      </c>
      <c r="L11" s="1">
        <v>8.3</v>
      </c>
      <c r="M11" s="1">
        <v>0.0</v>
      </c>
      <c r="N11" s="1">
        <v>8.3</v>
      </c>
      <c r="O11" s="1">
        <v>6.0</v>
      </c>
      <c r="P11" s="1">
        <v>10.0</v>
      </c>
      <c r="Q11" s="28">
        <v>159879.0</v>
      </c>
      <c r="R11" s="28">
        <f t="shared" si="1"/>
        <v>959274</v>
      </c>
      <c r="S11" s="28">
        <f t="shared" si="2"/>
        <v>0</v>
      </c>
      <c r="T11" s="28">
        <f t="shared" si="3"/>
        <v>79619.742</v>
      </c>
      <c r="V11" s="1" t="s">
        <v>317</v>
      </c>
      <c r="W11" s="1" t="s">
        <v>317</v>
      </c>
      <c r="X11" s="1" t="s">
        <v>325</v>
      </c>
      <c r="Y11" s="1" t="s">
        <v>325</v>
      </c>
      <c r="Z11" s="1" t="s">
        <v>326</v>
      </c>
      <c r="AA11" s="1" t="s">
        <v>334</v>
      </c>
      <c r="AB11" s="1" t="s">
        <v>328</v>
      </c>
      <c r="AC11" s="1">
        <v>1.0</v>
      </c>
      <c r="AD11" s="28">
        <f t="shared" si="4"/>
        <v>959274</v>
      </c>
    </row>
    <row r="12">
      <c r="A12" s="1" t="s">
        <v>37</v>
      </c>
      <c r="B12" s="1" t="s">
        <v>38</v>
      </c>
      <c r="C12" s="1" t="s">
        <v>244</v>
      </c>
      <c r="D12" s="1" t="s">
        <v>197</v>
      </c>
      <c r="E12" s="1" t="s">
        <v>255</v>
      </c>
      <c r="F12" s="1" t="s">
        <v>256</v>
      </c>
      <c r="G12" s="1" t="s">
        <v>337</v>
      </c>
      <c r="H12" s="1" t="s">
        <v>323</v>
      </c>
      <c r="I12" s="1" t="s">
        <v>316</v>
      </c>
      <c r="J12" s="1" t="s">
        <v>310</v>
      </c>
      <c r="K12" s="1" t="s">
        <v>308</v>
      </c>
      <c r="L12" s="1">
        <v>11.0</v>
      </c>
      <c r="M12" s="1">
        <v>11.0</v>
      </c>
      <c r="N12" s="1">
        <v>0.0</v>
      </c>
      <c r="O12" s="1">
        <v>1.0</v>
      </c>
      <c r="P12" s="1">
        <v>11.0</v>
      </c>
      <c r="Q12" s="28">
        <v>844378.0</v>
      </c>
      <c r="R12" s="28">
        <f t="shared" si="1"/>
        <v>844378</v>
      </c>
      <c r="S12" s="28">
        <f t="shared" si="2"/>
        <v>92881.58</v>
      </c>
      <c r="T12" s="28">
        <f t="shared" si="3"/>
        <v>0</v>
      </c>
      <c r="V12" s="1" t="s">
        <v>317</v>
      </c>
      <c r="W12" s="1" t="s">
        <v>317</v>
      </c>
      <c r="X12" s="1" t="s">
        <v>325</v>
      </c>
      <c r="Y12" s="1" t="s">
        <v>325</v>
      </c>
      <c r="Z12" s="1" t="s">
        <v>326</v>
      </c>
      <c r="AA12" s="1" t="s">
        <v>334</v>
      </c>
      <c r="AB12" s="1" t="s">
        <v>328</v>
      </c>
      <c r="AC12" s="1">
        <v>1.0</v>
      </c>
      <c r="AD12" s="28">
        <f t="shared" si="4"/>
        <v>844378</v>
      </c>
    </row>
    <row r="13">
      <c r="A13" s="1" t="s">
        <v>83</v>
      </c>
      <c r="B13" s="1" t="s">
        <v>84</v>
      </c>
      <c r="C13" s="1" t="s">
        <v>244</v>
      </c>
      <c r="D13" s="1" t="s">
        <v>197</v>
      </c>
      <c r="E13" s="1" t="s">
        <v>267</v>
      </c>
      <c r="F13" s="1" t="s">
        <v>338</v>
      </c>
      <c r="G13" s="1" t="s">
        <v>310</v>
      </c>
      <c r="H13" s="1" t="s">
        <v>330</v>
      </c>
      <c r="I13" s="1" t="s">
        <v>316</v>
      </c>
      <c r="J13" s="1" t="s">
        <v>310</v>
      </c>
      <c r="K13" s="64" t="s">
        <v>339</v>
      </c>
      <c r="L13" s="1">
        <v>6.3</v>
      </c>
      <c r="M13" s="1">
        <v>4.42</v>
      </c>
      <c r="N13" s="1">
        <v>1.88</v>
      </c>
      <c r="O13" s="1">
        <v>0.75</v>
      </c>
      <c r="P13" s="1">
        <v>12.0</v>
      </c>
      <c r="Q13" s="28">
        <v>844378.0</v>
      </c>
      <c r="R13" s="28">
        <f t="shared" si="1"/>
        <v>633283.5</v>
      </c>
      <c r="S13" s="28">
        <f t="shared" si="2"/>
        <v>27991.1307</v>
      </c>
      <c r="T13" s="28">
        <f t="shared" si="3"/>
        <v>11905.7298</v>
      </c>
      <c r="V13" s="1" t="s">
        <v>317</v>
      </c>
      <c r="W13" s="1" t="s">
        <v>317</v>
      </c>
      <c r="X13" s="1" t="s">
        <v>325</v>
      </c>
      <c r="Y13" s="1" t="s">
        <v>340</v>
      </c>
      <c r="Z13" s="1" t="s">
        <v>326</v>
      </c>
      <c r="AA13" s="1" t="s">
        <v>341</v>
      </c>
      <c r="AB13" s="1" t="s">
        <v>328</v>
      </c>
      <c r="AC13" s="1">
        <v>1.0</v>
      </c>
      <c r="AD13" s="28">
        <f t="shared" si="4"/>
        <v>633283.5</v>
      </c>
    </row>
    <row r="14">
      <c r="A14" s="1" t="s">
        <v>47</v>
      </c>
      <c r="B14" s="1" t="s">
        <v>48</v>
      </c>
      <c r="C14" s="1" t="s">
        <v>261</v>
      </c>
      <c r="D14" s="1" t="s">
        <v>195</v>
      </c>
      <c r="E14" s="1" t="s">
        <v>270</v>
      </c>
      <c r="F14" s="1" t="s">
        <v>278</v>
      </c>
      <c r="G14" s="1" t="s">
        <v>342</v>
      </c>
      <c r="H14" s="1" t="s">
        <v>330</v>
      </c>
      <c r="I14" s="1" t="s">
        <v>316</v>
      </c>
      <c r="J14" s="1" t="s">
        <v>310</v>
      </c>
      <c r="K14" s="1" t="s">
        <v>331</v>
      </c>
      <c r="L14" s="1">
        <v>16.0</v>
      </c>
      <c r="M14" s="1">
        <v>0.0</v>
      </c>
      <c r="N14" s="1">
        <v>16.0</v>
      </c>
      <c r="O14" s="1">
        <v>0.75</v>
      </c>
      <c r="P14" s="1">
        <v>13.0</v>
      </c>
      <c r="Q14" s="28">
        <v>829747.0</v>
      </c>
      <c r="R14" s="28">
        <f t="shared" si="1"/>
        <v>622310.25</v>
      </c>
      <c r="S14" s="28">
        <f t="shared" si="2"/>
        <v>0</v>
      </c>
      <c r="T14" s="28">
        <f t="shared" si="3"/>
        <v>99569.64</v>
      </c>
      <c r="V14" s="1" t="s">
        <v>317</v>
      </c>
      <c r="W14" s="1" t="s">
        <v>317</v>
      </c>
      <c r="X14" s="1" t="s">
        <v>325</v>
      </c>
      <c r="Y14" s="1" t="s">
        <v>325</v>
      </c>
      <c r="Z14" s="1" t="s">
        <v>326</v>
      </c>
      <c r="AA14" s="1" t="s">
        <v>334</v>
      </c>
      <c r="AB14" s="1" t="s">
        <v>328</v>
      </c>
      <c r="AC14" s="1">
        <v>1.0</v>
      </c>
      <c r="AD14" s="28">
        <f t="shared" si="4"/>
        <v>622310.25</v>
      </c>
    </row>
    <row r="15">
      <c r="A15" s="1" t="s">
        <v>113</v>
      </c>
      <c r="B15" s="1" t="s">
        <v>114</v>
      </c>
      <c r="C15" s="1" t="s">
        <v>249</v>
      </c>
      <c r="D15" s="1" t="s">
        <v>199</v>
      </c>
      <c r="E15" s="1" t="s">
        <v>255</v>
      </c>
      <c r="F15" s="1" t="s">
        <v>256</v>
      </c>
      <c r="G15" s="1" t="s">
        <v>337</v>
      </c>
      <c r="H15" s="1" t="s">
        <v>323</v>
      </c>
      <c r="I15" s="1" t="s">
        <v>316</v>
      </c>
      <c r="J15" s="1" t="s">
        <v>310</v>
      </c>
      <c r="K15" s="1" t="s">
        <v>308</v>
      </c>
      <c r="L15" s="1">
        <v>7.05</v>
      </c>
      <c r="M15" s="1">
        <v>7.05</v>
      </c>
      <c r="N15" s="1">
        <v>0.0</v>
      </c>
      <c r="O15" s="1">
        <v>20.0</v>
      </c>
      <c r="P15" s="1">
        <v>14.0</v>
      </c>
      <c r="Q15" s="28">
        <v>31069.0</v>
      </c>
      <c r="R15" s="28">
        <f t="shared" si="1"/>
        <v>621380</v>
      </c>
      <c r="S15" s="28">
        <f t="shared" si="2"/>
        <v>43807.29</v>
      </c>
      <c r="T15" s="28">
        <f t="shared" si="3"/>
        <v>0</v>
      </c>
      <c r="V15" s="1" t="s">
        <v>317</v>
      </c>
      <c r="W15" s="1" t="s">
        <v>317</v>
      </c>
      <c r="X15" s="1" t="s">
        <v>325</v>
      </c>
      <c r="Y15" s="1" t="s">
        <v>325</v>
      </c>
      <c r="Z15" s="1" t="s">
        <v>326</v>
      </c>
      <c r="AA15" s="1" t="s">
        <v>344</v>
      </c>
      <c r="AB15" s="1" t="s">
        <v>328</v>
      </c>
      <c r="AC15" s="1">
        <v>1.0</v>
      </c>
      <c r="AD15" s="28">
        <f t="shared" si="4"/>
        <v>621380</v>
      </c>
    </row>
    <row r="16">
      <c r="A16" s="1" t="s">
        <v>101</v>
      </c>
      <c r="B16" s="1" t="s">
        <v>102</v>
      </c>
      <c r="C16" s="1" t="s">
        <v>244</v>
      </c>
      <c r="D16" s="1" t="s">
        <v>197</v>
      </c>
      <c r="E16" s="1" t="s">
        <v>267</v>
      </c>
      <c r="F16" s="1" t="s">
        <v>338</v>
      </c>
      <c r="G16" s="1" t="s">
        <v>310</v>
      </c>
      <c r="H16" s="1" t="s">
        <v>330</v>
      </c>
      <c r="I16" s="1" t="s">
        <v>316</v>
      </c>
      <c r="J16" s="1" t="s">
        <v>310</v>
      </c>
      <c r="K16" s="64" t="s">
        <v>339</v>
      </c>
      <c r="L16" s="1">
        <v>6.3</v>
      </c>
      <c r="M16" s="1">
        <v>4.42</v>
      </c>
      <c r="N16" s="1">
        <v>1.88</v>
      </c>
      <c r="O16" s="1">
        <v>1.0</v>
      </c>
      <c r="P16" s="1">
        <v>15.0</v>
      </c>
      <c r="Q16" s="28">
        <v>607466.0</v>
      </c>
      <c r="R16" s="28">
        <f t="shared" si="1"/>
        <v>607466</v>
      </c>
      <c r="S16" s="28">
        <f t="shared" si="2"/>
        <v>26849.9972</v>
      </c>
      <c r="T16" s="28">
        <f t="shared" si="3"/>
        <v>11420.3608</v>
      </c>
      <c r="V16" s="1" t="s">
        <v>317</v>
      </c>
      <c r="W16" s="1" t="s">
        <v>317</v>
      </c>
      <c r="X16" s="1" t="s">
        <v>340</v>
      </c>
      <c r="Y16" s="1" t="s">
        <v>340</v>
      </c>
      <c r="Z16" s="1" t="s">
        <v>326</v>
      </c>
      <c r="AA16" s="1" t="s">
        <v>341</v>
      </c>
      <c r="AB16" s="1" t="s">
        <v>328</v>
      </c>
      <c r="AC16" s="1">
        <v>1.0</v>
      </c>
      <c r="AD16" s="28">
        <f t="shared" si="4"/>
        <v>607466</v>
      </c>
    </row>
    <row r="17">
      <c r="A17" s="1" t="s">
        <v>51</v>
      </c>
      <c r="B17" s="1" t="s">
        <v>52</v>
      </c>
      <c r="C17" s="1" t="s">
        <v>261</v>
      </c>
      <c r="D17" s="1" t="s">
        <v>200</v>
      </c>
      <c r="E17" s="1" t="s">
        <v>266</v>
      </c>
      <c r="F17" s="1" t="s">
        <v>256</v>
      </c>
      <c r="G17" s="1" t="s">
        <v>345</v>
      </c>
      <c r="H17" s="1" t="s">
        <v>323</v>
      </c>
      <c r="I17" s="1" t="s">
        <v>316</v>
      </c>
      <c r="J17" s="1" t="s">
        <v>310</v>
      </c>
      <c r="K17" s="1" t="s">
        <v>308</v>
      </c>
      <c r="L17" s="1">
        <v>9.2</v>
      </c>
      <c r="M17" s="1">
        <v>9.2</v>
      </c>
      <c r="N17" s="1">
        <v>0.0</v>
      </c>
      <c r="O17" s="1">
        <v>0.825</v>
      </c>
      <c r="P17" s="1">
        <v>16.0</v>
      </c>
      <c r="Q17" s="28">
        <v>626365.0</v>
      </c>
      <c r="R17" s="28">
        <f t="shared" si="1"/>
        <v>516751.125</v>
      </c>
      <c r="S17" s="28">
        <f t="shared" si="2"/>
        <v>47541.1035</v>
      </c>
      <c r="T17" s="28">
        <f t="shared" si="3"/>
        <v>0</v>
      </c>
      <c r="V17" s="1" t="s">
        <v>317</v>
      </c>
      <c r="W17" s="1" t="s">
        <v>317</v>
      </c>
      <c r="X17" s="1" t="s">
        <v>325</v>
      </c>
      <c r="Y17" s="1" t="s">
        <v>325</v>
      </c>
      <c r="Z17" s="1" t="s">
        <v>326</v>
      </c>
      <c r="AA17" s="1" t="s">
        <v>334</v>
      </c>
      <c r="AB17" s="1" t="s">
        <v>328</v>
      </c>
      <c r="AC17" s="1">
        <v>1.0</v>
      </c>
      <c r="AD17" s="28">
        <f t="shared" si="4"/>
        <v>516751.125</v>
      </c>
    </row>
    <row r="18">
      <c r="A18" s="1" t="s">
        <v>63</v>
      </c>
      <c r="B18" s="1" t="s">
        <v>64</v>
      </c>
      <c r="C18" s="1" t="s">
        <v>239</v>
      </c>
      <c r="D18" s="1" t="s">
        <v>201</v>
      </c>
      <c r="E18" s="1" t="s">
        <v>272</v>
      </c>
      <c r="F18" s="1" t="s">
        <v>278</v>
      </c>
      <c r="G18" s="1" t="s">
        <v>346</v>
      </c>
      <c r="H18" s="1" t="s">
        <v>330</v>
      </c>
      <c r="I18" s="1" t="s">
        <v>316</v>
      </c>
      <c r="J18" s="1" t="s">
        <v>310</v>
      </c>
      <c r="K18" s="1" t="s">
        <v>331</v>
      </c>
      <c r="L18" s="1">
        <v>22.8</v>
      </c>
      <c r="M18" s="1">
        <v>0.0</v>
      </c>
      <c r="N18" s="1">
        <v>22.8</v>
      </c>
      <c r="O18" s="1">
        <v>0.6</v>
      </c>
      <c r="P18" s="1">
        <v>17.0</v>
      </c>
      <c r="Q18" s="28">
        <v>840565.0</v>
      </c>
      <c r="R18" s="28">
        <f t="shared" si="1"/>
        <v>504339</v>
      </c>
      <c r="S18" s="28">
        <f t="shared" si="2"/>
        <v>0</v>
      </c>
      <c r="T18" s="28">
        <f t="shared" si="3"/>
        <v>114989.292</v>
      </c>
      <c r="V18" s="1" t="s">
        <v>317</v>
      </c>
      <c r="W18" s="1" t="s">
        <v>317</v>
      </c>
      <c r="X18" s="1" t="s">
        <v>325</v>
      </c>
      <c r="Y18" s="1" t="s">
        <v>325</v>
      </c>
      <c r="Z18" s="1" t="s">
        <v>326</v>
      </c>
      <c r="AA18" s="1" t="s">
        <v>327</v>
      </c>
      <c r="AB18" s="1" t="s">
        <v>328</v>
      </c>
      <c r="AC18" s="1">
        <v>1.0</v>
      </c>
      <c r="AD18" s="28">
        <f t="shared" si="4"/>
        <v>504339</v>
      </c>
    </row>
    <row r="19">
      <c r="A19" s="1" t="s">
        <v>87</v>
      </c>
      <c r="B19" s="1" t="s">
        <v>88</v>
      </c>
      <c r="C19" s="1" t="s">
        <v>261</v>
      </c>
      <c r="D19" s="1" t="s">
        <v>197</v>
      </c>
      <c r="E19" s="1" t="s">
        <v>255</v>
      </c>
      <c r="F19" s="1" t="s">
        <v>256</v>
      </c>
      <c r="G19" s="1" t="s">
        <v>337</v>
      </c>
      <c r="H19" s="1" t="s">
        <v>323</v>
      </c>
      <c r="I19" s="1" t="s">
        <v>316</v>
      </c>
      <c r="J19" s="1" t="s">
        <v>310</v>
      </c>
      <c r="K19" s="1" t="s">
        <v>308</v>
      </c>
      <c r="L19" s="1">
        <v>11.0</v>
      </c>
      <c r="M19" s="1">
        <v>11.0</v>
      </c>
      <c r="N19" s="1">
        <v>0.0</v>
      </c>
      <c r="O19" s="1">
        <v>1.0</v>
      </c>
      <c r="P19" s="1">
        <v>18.0</v>
      </c>
      <c r="Q19" s="28">
        <v>477413.0</v>
      </c>
      <c r="R19" s="28">
        <f t="shared" si="1"/>
        <v>477413</v>
      </c>
      <c r="S19" s="28">
        <f t="shared" si="2"/>
        <v>52515.43</v>
      </c>
      <c r="T19" s="28">
        <f t="shared" si="3"/>
        <v>0</v>
      </c>
      <c r="V19" s="1" t="s">
        <v>317</v>
      </c>
      <c r="W19" s="1" t="s">
        <v>317</v>
      </c>
      <c r="X19" s="1" t="s">
        <v>325</v>
      </c>
      <c r="Y19" s="1" t="s">
        <v>325</v>
      </c>
      <c r="Z19" s="1" t="s">
        <v>326</v>
      </c>
      <c r="AA19" s="1" t="s">
        <v>334</v>
      </c>
      <c r="AB19" s="1" t="s">
        <v>328</v>
      </c>
      <c r="AC19" s="1">
        <v>1.0</v>
      </c>
      <c r="AD19" s="28">
        <f t="shared" si="4"/>
        <v>477413</v>
      </c>
    </row>
    <row r="20">
      <c r="A20" s="1" t="s">
        <v>109</v>
      </c>
      <c r="B20" s="1" t="s">
        <v>110</v>
      </c>
      <c r="C20" s="1" t="s">
        <v>234</v>
      </c>
      <c r="D20" s="1" t="s">
        <v>193</v>
      </c>
      <c r="E20" s="1" t="s">
        <v>273</v>
      </c>
      <c r="F20" s="1" t="s">
        <v>274</v>
      </c>
      <c r="G20" s="1" t="s">
        <v>274</v>
      </c>
      <c r="H20" s="1" t="s">
        <v>274</v>
      </c>
      <c r="I20" s="1" t="s">
        <v>274</v>
      </c>
      <c r="J20" s="1" t="s">
        <v>274</v>
      </c>
      <c r="K20" s="1" t="s">
        <v>308</v>
      </c>
      <c r="L20" s="1">
        <v>3.3</v>
      </c>
      <c r="M20" s="1">
        <v>3.3</v>
      </c>
      <c r="N20" s="1">
        <v>0.0</v>
      </c>
      <c r="O20" s="1">
        <v>1.0</v>
      </c>
      <c r="P20" s="1">
        <v>19.0</v>
      </c>
      <c r="Q20" s="28">
        <v>457427.0</v>
      </c>
      <c r="R20" s="28">
        <f t="shared" si="1"/>
        <v>457427</v>
      </c>
      <c r="S20" s="28">
        <f t="shared" si="2"/>
        <v>15095.091</v>
      </c>
      <c r="T20" s="28">
        <f t="shared" si="3"/>
        <v>0</v>
      </c>
      <c r="V20" s="1" t="s">
        <v>316</v>
      </c>
      <c r="W20" s="1" t="s">
        <v>317</v>
      </c>
      <c r="X20" s="1" t="s">
        <v>348</v>
      </c>
      <c r="Y20" s="1" t="s">
        <v>349</v>
      </c>
      <c r="Z20" s="1" t="s">
        <v>350</v>
      </c>
      <c r="AA20" s="1" t="s">
        <v>327</v>
      </c>
      <c r="AB20" s="1" t="s">
        <v>322</v>
      </c>
      <c r="AC20" s="1">
        <v>1.0</v>
      </c>
      <c r="AD20" s="28">
        <f t="shared" si="4"/>
        <v>457427</v>
      </c>
    </row>
    <row r="21" ht="15.75" customHeight="1">
      <c r="A21" s="1" t="s">
        <v>99</v>
      </c>
      <c r="B21" s="1" t="s">
        <v>100</v>
      </c>
      <c r="C21" s="1" t="s">
        <v>240</v>
      </c>
      <c r="D21" s="1" t="s">
        <v>197</v>
      </c>
      <c r="E21" s="1" t="s">
        <v>255</v>
      </c>
      <c r="F21" s="1" t="s">
        <v>256</v>
      </c>
      <c r="G21" s="1" t="s">
        <v>337</v>
      </c>
      <c r="H21" s="1" t="s">
        <v>323</v>
      </c>
      <c r="I21" s="1" t="s">
        <v>316</v>
      </c>
      <c r="J21" s="1" t="s">
        <v>310</v>
      </c>
      <c r="K21" s="1" t="s">
        <v>308</v>
      </c>
      <c r="L21" s="1">
        <v>10.0</v>
      </c>
      <c r="M21" s="1">
        <v>10.0</v>
      </c>
      <c r="N21" s="1">
        <v>0.0</v>
      </c>
      <c r="O21" s="1">
        <v>1.0</v>
      </c>
      <c r="P21" s="1">
        <v>20.0</v>
      </c>
      <c r="Q21" s="28">
        <v>457427.0</v>
      </c>
      <c r="R21" s="28">
        <f t="shared" si="1"/>
        <v>457427</v>
      </c>
      <c r="S21" s="28">
        <f t="shared" si="2"/>
        <v>45742.7</v>
      </c>
      <c r="T21" s="28">
        <f t="shared" si="3"/>
        <v>0</v>
      </c>
      <c r="V21" s="1" t="s">
        <v>317</v>
      </c>
      <c r="W21" s="1" t="s">
        <v>317</v>
      </c>
      <c r="X21" s="1" t="s">
        <v>325</v>
      </c>
      <c r="Y21" s="1" t="s">
        <v>325</v>
      </c>
      <c r="Z21" s="1" t="s">
        <v>326</v>
      </c>
      <c r="AA21" s="1" t="s">
        <v>334</v>
      </c>
      <c r="AB21" s="1" t="s">
        <v>328</v>
      </c>
      <c r="AC21" s="1">
        <v>1.0</v>
      </c>
      <c r="AD21" s="28">
        <f t="shared" si="4"/>
        <v>457427</v>
      </c>
    </row>
    <row r="22" ht="15.75" customHeight="1">
      <c r="A22" s="1" t="s">
        <v>95</v>
      </c>
      <c r="B22" s="1" t="s">
        <v>96</v>
      </c>
      <c r="C22" s="1" t="s">
        <v>240</v>
      </c>
      <c r="D22" s="1" t="s">
        <v>195</v>
      </c>
      <c r="E22" s="1" t="s">
        <v>270</v>
      </c>
      <c r="F22" s="1" t="s">
        <v>278</v>
      </c>
      <c r="G22" s="1" t="s">
        <v>342</v>
      </c>
      <c r="H22" s="1" t="s">
        <v>330</v>
      </c>
      <c r="I22" s="1" t="s">
        <v>316</v>
      </c>
      <c r="J22" s="1" t="s">
        <v>310</v>
      </c>
      <c r="K22" s="1" t="s">
        <v>331</v>
      </c>
      <c r="L22" s="1">
        <v>14.0</v>
      </c>
      <c r="M22" s="1">
        <v>0.0</v>
      </c>
      <c r="N22" s="1">
        <v>14.0</v>
      </c>
      <c r="O22" s="1">
        <v>0.932</v>
      </c>
      <c r="P22" s="1">
        <v>21.0</v>
      </c>
      <c r="Q22" s="28">
        <v>457427.0</v>
      </c>
      <c r="R22" s="28">
        <f t="shared" si="1"/>
        <v>426321.964</v>
      </c>
      <c r="S22" s="28">
        <f t="shared" si="2"/>
        <v>0</v>
      </c>
      <c r="T22" s="28">
        <f t="shared" si="3"/>
        <v>59685.07496</v>
      </c>
      <c r="V22" s="1" t="s">
        <v>317</v>
      </c>
      <c r="W22" s="1" t="s">
        <v>317</v>
      </c>
      <c r="X22" s="1" t="s">
        <v>325</v>
      </c>
      <c r="Y22" s="1" t="s">
        <v>325</v>
      </c>
      <c r="Z22" s="1" t="s">
        <v>326</v>
      </c>
      <c r="AA22" s="1" t="s">
        <v>334</v>
      </c>
      <c r="AB22" s="1" t="s">
        <v>328</v>
      </c>
      <c r="AC22" s="1">
        <v>1.0</v>
      </c>
      <c r="AD22" s="28">
        <f t="shared" si="4"/>
        <v>426321.964</v>
      </c>
    </row>
    <row r="23" ht="15.75" customHeight="1">
      <c r="A23" s="1" t="s">
        <v>41</v>
      </c>
      <c r="B23" s="1" t="s">
        <v>42</v>
      </c>
      <c r="C23" s="1" t="s">
        <v>261</v>
      </c>
      <c r="D23" s="1" t="s">
        <v>199</v>
      </c>
      <c r="E23" s="1" t="s">
        <v>275</v>
      </c>
      <c r="F23" s="1" t="s">
        <v>314</v>
      </c>
      <c r="G23" s="1" t="s">
        <v>351</v>
      </c>
      <c r="H23" s="1" t="s">
        <v>323</v>
      </c>
      <c r="I23" s="1" t="s">
        <v>316</v>
      </c>
      <c r="J23" s="1" t="s">
        <v>310</v>
      </c>
      <c r="K23" s="1" t="s">
        <v>308</v>
      </c>
      <c r="L23" s="1">
        <v>0.5</v>
      </c>
      <c r="M23" s="1">
        <v>0.5</v>
      </c>
      <c r="N23" s="1">
        <v>0.0</v>
      </c>
      <c r="O23" s="1">
        <v>0.92</v>
      </c>
      <c r="P23" s="1">
        <v>22.0</v>
      </c>
      <c r="Q23" s="28">
        <v>457427.0</v>
      </c>
      <c r="R23" s="28">
        <f t="shared" si="1"/>
        <v>420832.84</v>
      </c>
      <c r="S23" s="28">
        <f t="shared" si="2"/>
        <v>2104.1642</v>
      </c>
      <c r="T23" s="28">
        <f t="shared" si="3"/>
        <v>0</v>
      </c>
      <c r="V23" s="1" t="s">
        <v>317</v>
      </c>
      <c r="W23" s="1" t="s">
        <v>317</v>
      </c>
      <c r="X23" s="1" t="s">
        <v>325</v>
      </c>
      <c r="Y23" s="1" t="s">
        <v>325</v>
      </c>
      <c r="Z23" s="1" t="s">
        <v>326</v>
      </c>
      <c r="AA23" s="1" t="s">
        <v>344</v>
      </c>
      <c r="AB23" s="1" t="s">
        <v>328</v>
      </c>
      <c r="AC23" s="1">
        <v>1.0</v>
      </c>
      <c r="AD23" s="28">
        <f t="shared" si="4"/>
        <v>420832.84</v>
      </c>
    </row>
    <row r="24" ht="15.75" customHeight="1">
      <c r="A24" s="1" t="s">
        <v>129</v>
      </c>
      <c r="B24" s="1" t="s">
        <v>130</v>
      </c>
      <c r="C24" s="1" t="s">
        <v>258</v>
      </c>
      <c r="D24" s="1" t="s">
        <v>195</v>
      </c>
      <c r="E24" s="1" t="s">
        <v>270</v>
      </c>
      <c r="F24" s="1" t="s">
        <v>278</v>
      </c>
      <c r="G24" s="1" t="s">
        <v>342</v>
      </c>
      <c r="H24" s="1" t="s">
        <v>330</v>
      </c>
      <c r="I24" s="1" t="s">
        <v>316</v>
      </c>
      <c r="J24" s="1" t="s">
        <v>310</v>
      </c>
      <c r="K24" s="1" t="s">
        <v>331</v>
      </c>
      <c r="L24" s="1">
        <v>13.0</v>
      </c>
      <c r="M24" s="1">
        <v>0.0</v>
      </c>
      <c r="N24" s="1">
        <v>13.0</v>
      </c>
      <c r="O24" s="1">
        <v>1.59</v>
      </c>
      <c r="P24" s="1">
        <v>23.0</v>
      </c>
      <c r="Q24" s="28">
        <v>242676.0</v>
      </c>
      <c r="R24" s="28">
        <f t="shared" si="1"/>
        <v>385854.84</v>
      </c>
      <c r="S24" s="28">
        <f t="shared" si="2"/>
        <v>0</v>
      </c>
      <c r="T24" s="28">
        <f t="shared" si="3"/>
        <v>50161.1292</v>
      </c>
      <c r="V24" s="1" t="s">
        <v>317</v>
      </c>
      <c r="W24" s="1" t="s">
        <v>317</v>
      </c>
      <c r="X24" s="1" t="s">
        <v>325</v>
      </c>
      <c r="Y24" s="1" t="s">
        <v>325</v>
      </c>
      <c r="Z24" s="1" t="s">
        <v>326</v>
      </c>
      <c r="AA24" s="1" t="s">
        <v>344</v>
      </c>
      <c r="AB24" s="1" t="s">
        <v>328</v>
      </c>
      <c r="AC24" s="1">
        <v>1.0</v>
      </c>
      <c r="AD24" s="28">
        <f t="shared" si="4"/>
        <v>385854.84</v>
      </c>
    </row>
    <row r="25" ht="15.75" customHeight="1">
      <c r="A25" s="1" t="s">
        <v>91</v>
      </c>
      <c r="B25" s="1" t="s">
        <v>92</v>
      </c>
      <c r="C25" s="1" t="s">
        <v>261</v>
      </c>
      <c r="D25" s="1" t="s">
        <v>199</v>
      </c>
      <c r="E25" s="1" t="s">
        <v>275</v>
      </c>
      <c r="F25" s="1" t="s">
        <v>314</v>
      </c>
      <c r="G25" s="1" t="s">
        <v>351</v>
      </c>
      <c r="H25" s="1" t="s">
        <v>323</v>
      </c>
      <c r="I25" s="1" t="s">
        <v>316</v>
      </c>
      <c r="J25" s="1" t="s">
        <v>310</v>
      </c>
      <c r="K25" s="1" t="s">
        <v>308</v>
      </c>
      <c r="L25" s="1">
        <v>0.5</v>
      </c>
      <c r="M25" s="1">
        <v>0.5</v>
      </c>
      <c r="N25" s="1">
        <v>0.0</v>
      </c>
      <c r="O25" s="1">
        <v>0.94</v>
      </c>
      <c r="P25" s="1">
        <v>24.0</v>
      </c>
      <c r="Q25" s="28">
        <v>348272.0</v>
      </c>
      <c r="R25" s="28">
        <f t="shared" si="1"/>
        <v>327375.68</v>
      </c>
      <c r="S25" s="28">
        <f t="shared" si="2"/>
        <v>1636.8784</v>
      </c>
      <c r="T25" s="28">
        <f t="shared" si="3"/>
        <v>0</v>
      </c>
      <c r="V25" s="1" t="s">
        <v>317</v>
      </c>
      <c r="W25" s="1" t="s">
        <v>317</v>
      </c>
      <c r="X25" s="1" t="s">
        <v>325</v>
      </c>
      <c r="Y25" s="1" t="s">
        <v>325</v>
      </c>
      <c r="Z25" s="1" t="s">
        <v>326</v>
      </c>
      <c r="AA25" s="1" t="s">
        <v>344</v>
      </c>
      <c r="AB25" s="1" t="s">
        <v>328</v>
      </c>
      <c r="AC25" s="1">
        <v>1.0</v>
      </c>
      <c r="AD25" s="28">
        <f t="shared" si="4"/>
        <v>327375.68</v>
      </c>
    </row>
    <row r="26" ht="15.75" customHeight="1">
      <c r="A26" s="1" t="s">
        <v>61</v>
      </c>
      <c r="B26" s="1" t="s">
        <v>62</v>
      </c>
      <c r="C26" s="1" t="s">
        <v>234</v>
      </c>
      <c r="D26" s="1" t="s">
        <v>203</v>
      </c>
      <c r="E26" s="1" t="s">
        <v>279</v>
      </c>
      <c r="F26" s="1" t="s">
        <v>278</v>
      </c>
      <c r="G26" s="1" t="s">
        <v>352</v>
      </c>
      <c r="H26" s="1" t="s">
        <v>330</v>
      </c>
      <c r="I26" s="1" t="s">
        <v>316</v>
      </c>
      <c r="J26" s="1" t="s">
        <v>310</v>
      </c>
      <c r="K26" s="1" t="s">
        <v>331</v>
      </c>
      <c r="L26" s="1">
        <v>22.1</v>
      </c>
      <c r="M26" s="1">
        <v>0.0</v>
      </c>
      <c r="N26" s="1">
        <v>22.1</v>
      </c>
      <c r="O26" s="1">
        <v>1.0</v>
      </c>
      <c r="P26" s="1">
        <v>25.0</v>
      </c>
      <c r="Q26" s="28">
        <v>308135.0</v>
      </c>
      <c r="R26" s="28">
        <f t="shared" si="1"/>
        <v>308135</v>
      </c>
      <c r="S26" s="28">
        <f t="shared" si="2"/>
        <v>0</v>
      </c>
      <c r="T26" s="28">
        <f t="shared" si="3"/>
        <v>68097.835</v>
      </c>
      <c r="V26" s="1" t="s">
        <v>317</v>
      </c>
      <c r="W26" s="1" t="s">
        <v>317</v>
      </c>
      <c r="X26" s="1" t="s">
        <v>325</v>
      </c>
      <c r="Y26" s="1" t="s">
        <v>325</v>
      </c>
      <c r="Z26" s="1" t="s">
        <v>354</v>
      </c>
      <c r="AA26" s="1" t="s">
        <v>327</v>
      </c>
      <c r="AB26" s="1" t="s">
        <v>322</v>
      </c>
      <c r="AC26" s="1">
        <v>1.0</v>
      </c>
      <c r="AD26" s="28">
        <f t="shared" si="4"/>
        <v>308135</v>
      </c>
    </row>
    <row r="27" ht="15.75" customHeight="1">
      <c r="A27" s="1" t="s">
        <v>39</v>
      </c>
      <c r="B27" s="1" t="s">
        <v>40</v>
      </c>
      <c r="C27" s="1" t="s">
        <v>261</v>
      </c>
      <c r="D27" s="1" t="s">
        <v>204</v>
      </c>
      <c r="E27" s="1" t="s">
        <v>259</v>
      </c>
      <c r="F27" s="1" t="s">
        <v>283</v>
      </c>
      <c r="G27" s="1" t="s">
        <v>329</v>
      </c>
      <c r="H27" s="1" t="s">
        <v>330</v>
      </c>
      <c r="I27" s="1" t="s">
        <v>316</v>
      </c>
      <c r="J27" s="1" t="s">
        <v>310</v>
      </c>
      <c r="K27" s="1" t="s">
        <v>331</v>
      </c>
      <c r="L27" s="1">
        <v>27.0</v>
      </c>
      <c r="M27" s="1">
        <v>0.0</v>
      </c>
      <c r="N27" s="1">
        <v>27.0</v>
      </c>
      <c r="O27" s="1">
        <v>0.35</v>
      </c>
      <c r="P27" s="1">
        <v>26.0</v>
      </c>
      <c r="Q27" s="28">
        <v>844378.0</v>
      </c>
      <c r="R27" s="28">
        <f t="shared" si="1"/>
        <v>295532.3</v>
      </c>
      <c r="S27" s="28">
        <f t="shared" si="2"/>
        <v>0</v>
      </c>
      <c r="T27" s="28">
        <f t="shared" si="3"/>
        <v>79793.721</v>
      </c>
      <c r="V27" s="1" t="s">
        <v>317</v>
      </c>
      <c r="W27" s="1" t="s">
        <v>317</v>
      </c>
      <c r="X27" s="1" t="s">
        <v>325</v>
      </c>
      <c r="Y27" s="1" t="s">
        <v>325</v>
      </c>
      <c r="Z27" s="1" t="s">
        <v>326</v>
      </c>
      <c r="AA27" s="1" t="s">
        <v>334</v>
      </c>
      <c r="AB27" s="1" t="s">
        <v>328</v>
      </c>
      <c r="AC27" s="1">
        <v>10.0</v>
      </c>
      <c r="AD27" s="28">
        <f t="shared" si="4"/>
        <v>2955323</v>
      </c>
    </row>
    <row r="28" ht="15.75" customHeight="1">
      <c r="A28" s="1" t="s">
        <v>131</v>
      </c>
      <c r="B28" s="1" t="s">
        <v>132</v>
      </c>
      <c r="C28" s="1" t="s">
        <v>239</v>
      </c>
      <c r="D28" s="1" t="s">
        <v>201</v>
      </c>
      <c r="E28" s="1" t="s">
        <v>272</v>
      </c>
      <c r="F28" s="1" t="s">
        <v>278</v>
      </c>
      <c r="G28" s="1" t="s">
        <v>346</v>
      </c>
      <c r="H28" s="1" t="s">
        <v>330</v>
      </c>
      <c r="I28" s="1" t="s">
        <v>316</v>
      </c>
      <c r="J28" s="1" t="s">
        <v>310</v>
      </c>
      <c r="K28" s="1" t="s">
        <v>331</v>
      </c>
      <c r="L28" s="1">
        <v>18.2</v>
      </c>
      <c r="M28" s="1">
        <v>0.0</v>
      </c>
      <c r="N28" s="1">
        <v>18.2</v>
      </c>
      <c r="O28" s="1">
        <v>1.0</v>
      </c>
      <c r="P28" s="1">
        <v>27.0</v>
      </c>
      <c r="Q28" s="28">
        <v>273420.0</v>
      </c>
      <c r="R28" s="28">
        <f t="shared" si="1"/>
        <v>273420</v>
      </c>
      <c r="S28" s="28">
        <f t="shared" si="2"/>
        <v>0</v>
      </c>
      <c r="T28" s="28">
        <f t="shared" si="3"/>
        <v>49762.44</v>
      </c>
      <c r="V28" s="1" t="s">
        <v>317</v>
      </c>
      <c r="W28" s="1" t="s">
        <v>317</v>
      </c>
      <c r="X28" s="1" t="s">
        <v>325</v>
      </c>
      <c r="Y28" s="1" t="s">
        <v>325</v>
      </c>
      <c r="Z28" s="1" t="s">
        <v>326</v>
      </c>
      <c r="AA28" s="1" t="s">
        <v>327</v>
      </c>
      <c r="AB28" s="1" t="s">
        <v>328</v>
      </c>
      <c r="AC28" s="1">
        <v>1.0</v>
      </c>
      <c r="AD28" s="28">
        <f t="shared" si="4"/>
        <v>273420</v>
      </c>
    </row>
    <row r="29" ht="15.75" customHeight="1">
      <c r="A29" s="1" t="s">
        <v>103</v>
      </c>
      <c r="B29" s="1" t="s">
        <v>104</v>
      </c>
      <c r="C29" s="1" t="s">
        <v>261</v>
      </c>
      <c r="D29" s="1" t="s">
        <v>204</v>
      </c>
      <c r="E29" s="1" t="s">
        <v>259</v>
      </c>
      <c r="F29" s="1" t="s">
        <v>283</v>
      </c>
      <c r="G29" s="1" t="s">
        <v>329</v>
      </c>
      <c r="H29" s="1" t="s">
        <v>330</v>
      </c>
      <c r="I29" s="1" t="s">
        <v>316</v>
      </c>
      <c r="J29" s="1" t="s">
        <v>310</v>
      </c>
      <c r="K29" s="1" t="s">
        <v>331</v>
      </c>
      <c r="L29" s="1">
        <v>27.0</v>
      </c>
      <c r="M29" s="1">
        <v>0.0</v>
      </c>
      <c r="N29" s="1">
        <v>27.0</v>
      </c>
      <c r="O29" s="1">
        <v>0.5</v>
      </c>
      <c r="P29" s="1">
        <v>28.0</v>
      </c>
      <c r="Q29" s="28">
        <v>541283.0</v>
      </c>
      <c r="R29" s="28">
        <f t="shared" si="1"/>
        <v>270641.5</v>
      </c>
      <c r="S29" s="28">
        <f t="shared" si="2"/>
        <v>0</v>
      </c>
      <c r="T29" s="28">
        <f t="shared" si="3"/>
        <v>73073.205</v>
      </c>
      <c r="V29" s="1" t="s">
        <v>317</v>
      </c>
      <c r="W29" s="1" t="s">
        <v>317</v>
      </c>
      <c r="X29" s="1" t="s">
        <v>325</v>
      </c>
      <c r="Y29" s="1" t="s">
        <v>325</v>
      </c>
      <c r="Z29" s="1" t="s">
        <v>326</v>
      </c>
      <c r="AA29" s="1" t="s">
        <v>334</v>
      </c>
      <c r="AB29" s="1" t="s">
        <v>328</v>
      </c>
      <c r="AC29" s="1">
        <v>10.0</v>
      </c>
      <c r="AD29" s="28">
        <f t="shared" si="4"/>
        <v>2706415</v>
      </c>
    </row>
    <row r="30" ht="15.75" customHeight="1">
      <c r="A30" s="1" t="s">
        <v>121</v>
      </c>
      <c r="B30" s="1" t="s">
        <v>122</v>
      </c>
      <c r="C30" s="1" t="s">
        <v>260</v>
      </c>
      <c r="D30" s="1" t="s">
        <v>201</v>
      </c>
      <c r="E30" s="1" t="s">
        <v>272</v>
      </c>
      <c r="F30" s="1" t="s">
        <v>278</v>
      </c>
      <c r="G30" s="1" t="s">
        <v>346</v>
      </c>
      <c r="H30" s="1" t="s">
        <v>330</v>
      </c>
      <c r="I30" s="1" t="s">
        <v>316</v>
      </c>
      <c r="J30" s="1" t="s">
        <v>310</v>
      </c>
      <c r="K30" s="1" t="s">
        <v>331</v>
      </c>
      <c r="L30" s="1">
        <v>21.0</v>
      </c>
      <c r="M30" s="1">
        <v>0.0</v>
      </c>
      <c r="N30" s="1">
        <v>21.0</v>
      </c>
      <c r="O30" s="1">
        <v>1.4</v>
      </c>
      <c r="P30" s="1">
        <v>29.0</v>
      </c>
      <c r="Q30" s="28">
        <v>187410.0</v>
      </c>
      <c r="R30" s="28">
        <f t="shared" si="1"/>
        <v>262374</v>
      </c>
      <c r="S30" s="28">
        <f t="shared" si="2"/>
        <v>0</v>
      </c>
      <c r="T30" s="28">
        <f t="shared" si="3"/>
        <v>55098.54</v>
      </c>
      <c r="V30" s="1" t="s">
        <v>317</v>
      </c>
      <c r="W30" s="1" t="s">
        <v>317</v>
      </c>
      <c r="X30" s="1" t="s">
        <v>325</v>
      </c>
      <c r="Y30" s="1" t="s">
        <v>325</v>
      </c>
      <c r="Z30" s="1" t="s">
        <v>326</v>
      </c>
      <c r="AA30" s="1" t="s">
        <v>327</v>
      </c>
      <c r="AB30" s="1" t="s">
        <v>328</v>
      </c>
      <c r="AC30" s="1">
        <v>1.0</v>
      </c>
      <c r="AD30" s="28">
        <f t="shared" si="4"/>
        <v>262374</v>
      </c>
    </row>
    <row r="31" ht="15.75" customHeight="1">
      <c r="A31" s="1" t="s">
        <v>119</v>
      </c>
      <c r="B31" s="1" t="s">
        <v>120</v>
      </c>
      <c r="C31" s="1" t="s">
        <v>234</v>
      </c>
      <c r="D31" s="1" t="s">
        <v>203</v>
      </c>
      <c r="E31" s="1" t="s">
        <v>279</v>
      </c>
      <c r="F31" s="1" t="s">
        <v>278</v>
      </c>
      <c r="G31" s="1" t="s">
        <v>352</v>
      </c>
      <c r="H31" s="1" t="s">
        <v>330</v>
      </c>
      <c r="I31" s="1" t="s">
        <v>316</v>
      </c>
      <c r="J31" s="1" t="s">
        <v>310</v>
      </c>
      <c r="K31" s="1" t="s">
        <v>331</v>
      </c>
      <c r="L31" s="1">
        <v>22.5</v>
      </c>
      <c r="M31" s="1">
        <v>0.0</v>
      </c>
      <c r="N31" s="1">
        <v>22.5</v>
      </c>
      <c r="O31" s="1">
        <v>1.0</v>
      </c>
      <c r="P31" s="1">
        <v>30.0</v>
      </c>
      <c r="Q31" s="28">
        <v>246471.0</v>
      </c>
      <c r="R31" s="28">
        <f t="shared" si="1"/>
        <v>246471</v>
      </c>
      <c r="S31" s="28">
        <f t="shared" si="2"/>
        <v>0</v>
      </c>
      <c r="T31" s="28">
        <f t="shared" si="3"/>
        <v>55455.975</v>
      </c>
      <c r="V31" s="1" t="s">
        <v>317</v>
      </c>
      <c r="W31" s="1" t="s">
        <v>317</v>
      </c>
      <c r="X31" s="1" t="s">
        <v>355</v>
      </c>
      <c r="Y31" s="1" t="s">
        <v>325</v>
      </c>
      <c r="Z31" s="1" t="s">
        <v>354</v>
      </c>
      <c r="AA31" s="1" t="s">
        <v>327</v>
      </c>
      <c r="AB31" s="1" t="s">
        <v>322</v>
      </c>
      <c r="AC31" s="1">
        <v>1.0</v>
      </c>
      <c r="AD31" s="28">
        <f t="shared" si="4"/>
        <v>246471</v>
      </c>
    </row>
    <row r="32" ht="15.75" customHeight="1">
      <c r="A32" s="1" t="s">
        <v>127</v>
      </c>
      <c r="B32" s="1" t="s">
        <v>128</v>
      </c>
      <c r="C32" s="1" t="s">
        <v>234</v>
      </c>
      <c r="D32" s="1" t="s">
        <v>203</v>
      </c>
      <c r="E32" s="1" t="s">
        <v>279</v>
      </c>
      <c r="F32" s="1" t="s">
        <v>278</v>
      </c>
      <c r="G32" s="1" t="s">
        <v>352</v>
      </c>
      <c r="H32" s="1" t="s">
        <v>330</v>
      </c>
      <c r="I32" s="1" t="s">
        <v>316</v>
      </c>
      <c r="J32" s="1" t="s">
        <v>310</v>
      </c>
      <c r="K32" s="1" t="s">
        <v>331</v>
      </c>
      <c r="L32" s="1">
        <v>23.0</v>
      </c>
      <c r="M32" s="1">
        <v>0.0</v>
      </c>
      <c r="N32" s="1">
        <v>23.0</v>
      </c>
      <c r="O32" s="1">
        <v>1.0</v>
      </c>
      <c r="P32" s="1">
        <v>31.0</v>
      </c>
      <c r="Q32" s="28">
        <v>219631.0</v>
      </c>
      <c r="R32" s="28">
        <f t="shared" si="1"/>
        <v>219631</v>
      </c>
      <c r="S32" s="28">
        <f t="shared" si="2"/>
        <v>0</v>
      </c>
      <c r="T32" s="28">
        <f t="shared" si="3"/>
        <v>50515.13</v>
      </c>
      <c r="V32" s="1" t="s">
        <v>317</v>
      </c>
      <c r="W32" s="1" t="s">
        <v>317</v>
      </c>
      <c r="X32" s="1" t="s">
        <v>325</v>
      </c>
      <c r="Y32" s="1" t="s">
        <v>325</v>
      </c>
      <c r="Z32" s="1" t="s">
        <v>357</v>
      </c>
      <c r="AA32" s="1" t="s">
        <v>327</v>
      </c>
      <c r="AB32" s="1" t="s">
        <v>322</v>
      </c>
      <c r="AC32" s="1">
        <v>1.0</v>
      </c>
      <c r="AD32" s="28">
        <f t="shared" si="4"/>
        <v>219631</v>
      </c>
    </row>
    <row r="33" ht="15.75" customHeight="1">
      <c r="A33" s="1" t="s">
        <v>55</v>
      </c>
      <c r="B33" s="1" t="s">
        <v>56</v>
      </c>
      <c r="C33" s="1" t="s">
        <v>240</v>
      </c>
      <c r="D33" s="1" t="s">
        <v>197</v>
      </c>
      <c r="E33" s="1" t="s">
        <v>281</v>
      </c>
      <c r="F33" s="1" t="s">
        <v>283</v>
      </c>
      <c r="G33" s="1" t="s">
        <v>358</v>
      </c>
      <c r="H33" s="1" t="s">
        <v>323</v>
      </c>
      <c r="I33" s="1" t="s">
        <v>316</v>
      </c>
      <c r="J33" s="1" t="s">
        <v>310</v>
      </c>
      <c r="K33" s="1" t="s">
        <v>359</v>
      </c>
      <c r="L33" s="1">
        <v>7.0</v>
      </c>
      <c r="M33" s="1">
        <v>7.0</v>
      </c>
      <c r="N33" s="1">
        <v>0.0</v>
      </c>
      <c r="O33" s="1">
        <v>1.0</v>
      </c>
      <c r="P33" s="1">
        <v>32.0</v>
      </c>
      <c r="Q33" s="28">
        <v>178885.0</v>
      </c>
      <c r="R33" s="28">
        <f t="shared" si="1"/>
        <v>178885</v>
      </c>
      <c r="S33" s="28">
        <f t="shared" si="2"/>
        <v>12521.95</v>
      </c>
      <c r="T33" s="28">
        <f t="shared" si="3"/>
        <v>0</v>
      </c>
      <c r="V33" s="1" t="s">
        <v>317</v>
      </c>
      <c r="W33" s="1" t="s">
        <v>317</v>
      </c>
      <c r="X33" s="1" t="s">
        <v>325</v>
      </c>
      <c r="Y33" s="1" t="s">
        <v>325</v>
      </c>
      <c r="Z33" s="1" t="s">
        <v>326</v>
      </c>
      <c r="AA33" s="1" t="s">
        <v>334</v>
      </c>
      <c r="AB33" s="1" t="s">
        <v>328</v>
      </c>
      <c r="AC33" s="1">
        <v>1.0</v>
      </c>
      <c r="AD33" s="28">
        <f t="shared" si="4"/>
        <v>178885</v>
      </c>
    </row>
    <row r="34" ht="15.75" customHeight="1">
      <c r="A34" s="1" t="s">
        <v>53</v>
      </c>
      <c r="B34" s="1" t="s">
        <v>54</v>
      </c>
      <c r="C34" s="1" t="s">
        <v>261</v>
      </c>
      <c r="D34" s="1" t="s">
        <v>199</v>
      </c>
      <c r="E34" s="1" t="s">
        <v>277</v>
      </c>
      <c r="F34" s="1" t="s">
        <v>278</v>
      </c>
      <c r="G34" s="1" t="s">
        <v>360</v>
      </c>
      <c r="H34" s="1" t="s">
        <v>323</v>
      </c>
      <c r="I34" s="1" t="s">
        <v>316</v>
      </c>
      <c r="J34" s="1" t="s">
        <v>310</v>
      </c>
      <c r="K34" s="1" t="s">
        <v>359</v>
      </c>
      <c r="L34" s="1">
        <v>11.0</v>
      </c>
      <c r="M34" s="1">
        <v>11.0</v>
      </c>
      <c r="N34" s="1">
        <v>0.0</v>
      </c>
      <c r="O34" s="1">
        <v>0.8</v>
      </c>
      <c r="P34" s="1">
        <v>33.0</v>
      </c>
      <c r="Q34" s="28">
        <v>217219.0</v>
      </c>
      <c r="R34" s="28">
        <f t="shared" si="1"/>
        <v>173775.2</v>
      </c>
      <c r="S34" s="28">
        <f t="shared" si="2"/>
        <v>19115.272</v>
      </c>
      <c r="T34" s="28">
        <f t="shared" si="3"/>
        <v>0</v>
      </c>
      <c r="V34" s="1" t="s">
        <v>317</v>
      </c>
      <c r="W34" s="1" t="s">
        <v>317</v>
      </c>
      <c r="X34" s="1" t="s">
        <v>325</v>
      </c>
      <c r="Y34" s="1" t="s">
        <v>325</v>
      </c>
      <c r="Z34" s="1" t="s">
        <v>326</v>
      </c>
      <c r="AA34" s="1" t="s">
        <v>334</v>
      </c>
      <c r="AB34" s="1" t="s">
        <v>328</v>
      </c>
      <c r="AC34" s="1">
        <v>1.0</v>
      </c>
      <c r="AD34" s="28">
        <f t="shared" si="4"/>
        <v>173775.2</v>
      </c>
    </row>
    <row r="35" ht="15.75" customHeight="1">
      <c r="A35" s="1" t="s">
        <v>111</v>
      </c>
      <c r="B35" s="1" t="s">
        <v>112</v>
      </c>
      <c r="C35" s="1" t="s">
        <v>261</v>
      </c>
      <c r="D35" s="1" t="s">
        <v>199</v>
      </c>
      <c r="E35" s="1" t="s">
        <v>282</v>
      </c>
      <c r="F35" s="1" t="s">
        <v>310</v>
      </c>
      <c r="G35" s="1" t="s">
        <v>310</v>
      </c>
      <c r="H35" s="1" t="s">
        <v>310</v>
      </c>
      <c r="I35" s="1" t="s">
        <v>317</v>
      </c>
      <c r="J35" s="1" t="s">
        <v>361</v>
      </c>
      <c r="K35" s="64" t="s">
        <v>339</v>
      </c>
      <c r="L35" s="1">
        <v>15.0</v>
      </c>
      <c r="M35" s="1">
        <v>7.5</v>
      </c>
      <c r="N35" s="1">
        <v>7.5</v>
      </c>
      <c r="O35" s="1">
        <v>0.8</v>
      </c>
      <c r="P35" s="1">
        <v>34.0</v>
      </c>
      <c r="Q35" s="28">
        <v>190780.0</v>
      </c>
      <c r="R35" s="28">
        <f t="shared" si="1"/>
        <v>152624</v>
      </c>
      <c r="S35" s="28">
        <f t="shared" si="2"/>
        <v>11446.8</v>
      </c>
      <c r="T35" s="28">
        <f t="shared" si="3"/>
        <v>11446.8</v>
      </c>
      <c r="V35" s="1" t="s">
        <v>317</v>
      </c>
      <c r="W35" s="1" t="s">
        <v>317</v>
      </c>
      <c r="X35" s="1" t="s">
        <v>325</v>
      </c>
      <c r="Y35" s="1" t="s">
        <v>340</v>
      </c>
      <c r="Z35" s="1" t="s">
        <v>326</v>
      </c>
      <c r="AA35" s="1" t="s">
        <v>362</v>
      </c>
      <c r="AB35" s="1" t="s">
        <v>328</v>
      </c>
      <c r="AC35" s="1">
        <v>1.0</v>
      </c>
      <c r="AD35" s="28">
        <f t="shared" si="4"/>
        <v>152624</v>
      </c>
    </row>
    <row r="36" ht="15.75" customHeight="1">
      <c r="A36" s="1" t="s">
        <v>73</v>
      </c>
      <c r="B36" s="1" t="s">
        <v>74</v>
      </c>
      <c r="C36" s="1" t="s">
        <v>265</v>
      </c>
      <c r="D36" s="1" t="s">
        <v>205</v>
      </c>
      <c r="E36" s="1" t="s">
        <v>284</v>
      </c>
      <c r="F36" s="1" t="s">
        <v>310</v>
      </c>
      <c r="G36" s="1" t="s">
        <v>310</v>
      </c>
      <c r="H36" s="1" t="s">
        <v>310</v>
      </c>
      <c r="I36" s="1" t="s">
        <v>317</v>
      </c>
      <c r="J36" s="1" t="s">
        <v>363</v>
      </c>
      <c r="K36" s="64" t="s">
        <v>339</v>
      </c>
      <c r="L36" s="1">
        <v>14.0</v>
      </c>
      <c r="M36" s="1">
        <v>7.0</v>
      </c>
      <c r="N36" s="1">
        <v>7.0</v>
      </c>
      <c r="O36" s="1">
        <v>1.17</v>
      </c>
      <c r="P36" s="1">
        <v>35.0</v>
      </c>
      <c r="Q36" s="28">
        <v>128515.0</v>
      </c>
      <c r="R36" s="28">
        <f t="shared" si="1"/>
        <v>150362.55</v>
      </c>
      <c r="S36" s="28">
        <f t="shared" si="2"/>
        <v>10525.3785</v>
      </c>
      <c r="T36" s="28">
        <f t="shared" si="3"/>
        <v>10525.3785</v>
      </c>
      <c r="V36" s="1" t="s">
        <v>317</v>
      </c>
      <c r="W36" s="1" t="s">
        <v>317</v>
      </c>
      <c r="X36" s="1" t="s">
        <v>325</v>
      </c>
      <c r="Y36" s="1" t="s">
        <v>340</v>
      </c>
      <c r="Z36" s="1" t="s">
        <v>326</v>
      </c>
      <c r="AA36" s="1" t="s">
        <v>362</v>
      </c>
      <c r="AB36" s="1" t="s">
        <v>328</v>
      </c>
      <c r="AC36" s="1">
        <v>1.0</v>
      </c>
      <c r="AD36" s="28">
        <f t="shared" si="4"/>
        <v>150362.55</v>
      </c>
    </row>
    <row r="37" ht="15.75" customHeight="1">
      <c r="A37" s="1" t="s">
        <v>65</v>
      </c>
      <c r="B37" s="1" t="s">
        <v>66</v>
      </c>
      <c r="C37" s="1" t="s">
        <v>258</v>
      </c>
      <c r="D37" s="1" t="s">
        <v>195</v>
      </c>
      <c r="E37" s="1" t="s">
        <v>286</v>
      </c>
      <c r="F37" s="1" t="s">
        <v>314</v>
      </c>
      <c r="G37" s="1" t="s">
        <v>364</v>
      </c>
      <c r="H37" s="1" t="s">
        <v>330</v>
      </c>
      <c r="I37" s="1" t="s">
        <v>316</v>
      </c>
      <c r="J37" s="1" t="s">
        <v>310</v>
      </c>
      <c r="K37" s="1" t="s">
        <v>331</v>
      </c>
      <c r="L37" s="1">
        <v>1.0</v>
      </c>
      <c r="M37" s="1">
        <v>0.0</v>
      </c>
      <c r="N37" s="1">
        <v>1.0</v>
      </c>
      <c r="O37" s="1">
        <v>0.25</v>
      </c>
      <c r="P37" s="1">
        <v>36.0</v>
      </c>
      <c r="Q37" s="28">
        <v>600405.0</v>
      </c>
      <c r="R37" s="28">
        <f t="shared" si="1"/>
        <v>150101.25</v>
      </c>
      <c r="S37" s="28">
        <f t="shared" si="2"/>
        <v>0</v>
      </c>
      <c r="T37" s="28">
        <f t="shared" si="3"/>
        <v>1501.0125</v>
      </c>
      <c r="V37" s="1" t="s">
        <v>317</v>
      </c>
      <c r="W37" s="1" t="s">
        <v>317</v>
      </c>
      <c r="X37" s="1" t="s">
        <v>325</v>
      </c>
      <c r="Y37" s="1" t="s">
        <v>325</v>
      </c>
      <c r="Z37" s="1" t="s">
        <v>326</v>
      </c>
      <c r="AA37" s="1" t="s">
        <v>334</v>
      </c>
      <c r="AB37" s="1" t="s">
        <v>328</v>
      </c>
      <c r="AC37" s="1">
        <v>1.0</v>
      </c>
      <c r="AD37" s="28">
        <f t="shared" si="4"/>
        <v>150101.25</v>
      </c>
    </row>
    <row r="38" ht="15.75" customHeight="1">
      <c r="A38" s="1" t="s">
        <v>69</v>
      </c>
      <c r="B38" s="1" t="s">
        <v>70</v>
      </c>
      <c r="C38" s="1" t="s">
        <v>261</v>
      </c>
      <c r="D38" s="1" t="s">
        <v>197</v>
      </c>
      <c r="E38" s="1" t="s">
        <v>273</v>
      </c>
      <c r="F38" s="1" t="s">
        <v>274</v>
      </c>
      <c r="G38" s="1" t="s">
        <v>274</v>
      </c>
      <c r="H38" s="1" t="s">
        <v>274</v>
      </c>
      <c r="I38" s="1" t="s">
        <v>274</v>
      </c>
      <c r="J38" s="1" t="s">
        <v>274</v>
      </c>
      <c r="K38" s="1" t="s">
        <v>308</v>
      </c>
      <c r="L38" s="1">
        <v>14.4</v>
      </c>
      <c r="M38" s="1">
        <v>14.4</v>
      </c>
      <c r="N38" s="1">
        <v>0.0</v>
      </c>
      <c r="O38" s="1">
        <v>1.0</v>
      </c>
      <c r="P38" s="1">
        <v>37.0</v>
      </c>
      <c r="Q38" s="28">
        <v>147704.0</v>
      </c>
      <c r="R38" s="28">
        <f t="shared" si="1"/>
        <v>147704</v>
      </c>
      <c r="S38" s="28">
        <f t="shared" si="2"/>
        <v>21269.376</v>
      </c>
      <c r="T38" s="28">
        <f t="shared" si="3"/>
        <v>0</v>
      </c>
      <c r="V38" s="1" t="s">
        <v>316</v>
      </c>
      <c r="W38" s="1" t="s">
        <v>317</v>
      </c>
      <c r="X38" s="1" t="s">
        <v>318</v>
      </c>
      <c r="Y38" s="1" t="s">
        <v>319</v>
      </c>
      <c r="Z38" s="1" t="s">
        <v>326</v>
      </c>
      <c r="AA38" s="1" t="s">
        <v>321</v>
      </c>
      <c r="AB38" s="1" t="s">
        <v>328</v>
      </c>
      <c r="AC38" s="1">
        <v>1.0</v>
      </c>
      <c r="AD38" s="28">
        <f t="shared" si="4"/>
        <v>147704</v>
      </c>
    </row>
    <row r="39" ht="15.75" customHeight="1">
      <c r="A39" s="1" t="s">
        <v>85</v>
      </c>
      <c r="B39" s="1" t="s">
        <v>86</v>
      </c>
      <c r="C39" s="1" t="s">
        <v>261</v>
      </c>
      <c r="D39" s="1" t="s">
        <v>205</v>
      </c>
      <c r="E39" s="1" t="s">
        <v>282</v>
      </c>
      <c r="F39" s="1" t="s">
        <v>310</v>
      </c>
      <c r="G39" s="1" t="s">
        <v>310</v>
      </c>
      <c r="H39" s="1" t="s">
        <v>310</v>
      </c>
      <c r="I39" s="1" t="s">
        <v>317</v>
      </c>
      <c r="J39" s="1" t="s">
        <v>361</v>
      </c>
      <c r="K39" s="1" t="s">
        <v>331</v>
      </c>
      <c r="L39" s="1">
        <v>16.0</v>
      </c>
      <c r="M39" s="1">
        <v>0.0</v>
      </c>
      <c r="N39" s="1">
        <v>16.0</v>
      </c>
      <c r="O39" s="1">
        <v>2.0</v>
      </c>
      <c r="P39" s="1">
        <v>38.0</v>
      </c>
      <c r="Q39" s="28">
        <v>71632.0</v>
      </c>
      <c r="R39" s="28">
        <f t="shared" si="1"/>
        <v>143264</v>
      </c>
      <c r="S39" s="28">
        <f t="shared" si="2"/>
        <v>0</v>
      </c>
      <c r="T39" s="28">
        <f t="shared" si="3"/>
        <v>22922.24</v>
      </c>
      <c r="V39" s="1" t="s">
        <v>317</v>
      </c>
      <c r="W39" s="1" t="s">
        <v>317</v>
      </c>
      <c r="X39" s="1" t="s">
        <v>349</v>
      </c>
      <c r="Y39" s="1" t="s">
        <v>325</v>
      </c>
      <c r="Z39" s="1" t="s">
        <v>326</v>
      </c>
      <c r="AA39" s="1" t="s">
        <v>321</v>
      </c>
      <c r="AB39" s="1" t="s">
        <v>328</v>
      </c>
      <c r="AC39" s="1">
        <v>1.0</v>
      </c>
      <c r="AD39" s="28">
        <f t="shared" si="4"/>
        <v>143264</v>
      </c>
    </row>
    <row r="40" ht="15.75" customHeight="1">
      <c r="A40" s="1" t="s">
        <v>45</v>
      </c>
      <c r="B40" s="1" t="s">
        <v>46</v>
      </c>
      <c r="C40" s="1" t="s">
        <v>261</v>
      </c>
      <c r="D40" s="1" t="s">
        <v>205</v>
      </c>
      <c r="E40" s="1" t="s">
        <v>311</v>
      </c>
      <c r="F40" s="1" t="s">
        <v>278</v>
      </c>
      <c r="G40" s="1" t="s">
        <v>367</v>
      </c>
      <c r="H40" s="1" t="s">
        <v>330</v>
      </c>
      <c r="I40" s="1" t="s">
        <v>316</v>
      </c>
      <c r="J40" s="1" t="s">
        <v>310</v>
      </c>
      <c r="K40" s="1" t="s">
        <v>331</v>
      </c>
      <c r="L40" s="1">
        <v>20.0</v>
      </c>
      <c r="M40" s="1">
        <v>0.0</v>
      </c>
      <c r="N40" s="1">
        <v>20.0</v>
      </c>
      <c r="O40" s="1">
        <v>1.0</v>
      </c>
      <c r="P40" s="1">
        <v>39.0</v>
      </c>
      <c r="Q40" s="28">
        <v>131564.0</v>
      </c>
      <c r="R40" s="28">
        <f t="shared" si="1"/>
        <v>131564</v>
      </c>
      <c r="S40" s="28">
        <f t="shared" si="2"/>
        <v>0</v>
      </c>
      <c r="T40" s="28">
        <f t="shared" si="3"/>
        <v>26312.8</v>
      </c>
      <c r="V40" s="1" t="s">
        <v>317</v>
      </c>
      <c r="W40" s="1" t="s">
        <v>317</v>
      </c>
      <c r="X40" s="1" t="s">
        <v>325</v>
      </c>
      <c r="Y40" s="1" t="s">
        <v>325</v>
      </c>
      <c r="Z40" s="1" t="s">
        <v>326</v>
      </c>
      <c r="AA40" s="1" t="s">
        <v>334</v>
      </c>
      <c r="AB40" s="1" t="s">
        <v>328</v>
      </c>
      <c r="AC40" s="1">
        <v>1.0</v>
      </c>
      <c r="AD40" s="28">
        <f t="shared" si="4"/>
        <v>131564</v>
      </c>
    </row>
    <row r="41" ht="15.75" customHeight="1">
      <c r="A41" s="1" t="s">
        <v>81</v>
      </c>
      <c r="B41" s="1" t="s">
        <v>82</v>
      </c>
      <c r="C41" s="1" t="s">
        <v>234</v>
      </c>
      <c r="D41" s="1" t="s">
        <v>197</v>
      </c>
      <c r="E41" s="1" t="s">
        <v>273</v>
      </c>
      <c r="F41" s="1" t="s">
        <v>274</v>
      </c>
      <c r="G41" s="1" t="s">
        <v>274</v>
      </c>
      <c r="H41" s="1" t="s">
        <v>274</v>
      </c>
      <c r="I41" s="1" t="s">
        <v>274</v>
      </c>
      <c r="J41" s="1" t="s">
        <v>274</v>
      </c>
      <c r="K41" s="1" t="s">
        <v>308</v>
      </c>
      <c r="L41" s="1">
        <v>14.4</v>
      </c>
      <c r="M41" s="1">
        <v>14.4</v>
      </c>
      <c r="N41" s="1">
        <v>0.0</v>
      </c>
      <c r="O41" s="1">
        <v>1.0</v>
      </c>
      <c r="P41" s="1">
        <v>40.0</v>
      </c>
      <c r="Q41" s="28">
        <v>120668.0</v>
      </c>
      <c r="R41" s="28">
        <f t="shared" si="1"/>
        <v>120668</v>
      </c>
      <c r="S41" s="28">
        <f t="shared" si="2"/>
        <v>17376.192</v>
      </c>
      <c r="T41" s="28">
        <f t="shared" si="3"/>
        <v>0</v>
      </c>
      <c r="V41" s="1" t="s">
        <v>316</v>
      </c>
      <c r="W41" s="1" t="s">
        <v>317</v>
      </c>
      <c r="X41" s="1" t="s">
        <v>318</v>
      </c>
      <c r="Y41" s="1" t="s">
        <v>319</v>
      </c>
      <c r="Z41" s="1" t="s">
        <v>326</v>
      </c>
      <c r="AA41" s="1" t="s">
        <v>321</v>
      </c>
      <c r="AB41" s="1" t="s">
        <v>328</v>
      </c>
      <c r="AC41" s="1">
        <v>1.0</v>
      </c>
      <c r="AD41" s="28">
        <f t="shared" si="4"/>
        <v>120668</v>
      </c>
    </row>
    <row r="42" ht="15.75" customHeight="1">
      <c r="A42" s="1" t="s">
        <v>77</v>
      </c>
      <c r="B42" s="1" t="s">
        <v>78</v>
      </c>
      <c r="C42" s="1" t="s">
        <v>261</v>
      </c>
      <c r="D42" s="1" t="s">
        <v>199</v>
      </c>
      <c r="E42" s="1" t="s">
        <v>282</v>
      </c>
      <c r="F42" s="1" t="s">
        <v>310</v>
      </c>
      <c r="G42" s="1" t="s">
        <v>310</v>
      </c>
      <c r="H42" s="1" t="s">
        <v>310</v>
      </c>
      <c r="I42" s="1" t="s">
        <v>317</v>
      </c>
      <c r="J42" s="1" t="s">
        <v>361</v>
      </c>
      <c r="K42" s="64" t="s">
        <v>339</v>
      </c>
      <c r="L42" s="1">
        <v>34.0</v>
      </c>
      <c r="M42" s="1">
        <v>20.4</v>
      </c>
      <c r="N42" s="1">
        <v>13.6</v>
      </c>
      <c r="O42" s="1">
        <v>0.84</v>
      </c>
      <c r="P42" s="1">
        <v>41.0</v>
      </c>
      <c r="Q42" s="28">
        <v>140143.0</v>
      </c>
      <c r="R42" s="28">
        <f t="shared" si="1"/>
        <v>117720.12</v>
      </c>
      <c r="S42" s="28">
        <f t="shared" si="2"/>
        <v>24014.90448</v>
      </c>
      <c r="T42" s="28">
        <f t="shared" si="3"/>
        <v>16009.93632</v>
      </c>
      <c r="V42" s="1" t="s">
        <v>317</v>
      </c>
      <c r="W42" s="1" t="s">
        <v>317</v>
      </c>
      <c r="X42" s="1" t="s">
        <v>325</v>
      </c>
      <c r="Y42" s="1" t="s">
        <v>355</v>
      </c>
      <c r="Z42" s="1" t="s">
        <v>326</v>
      </c>
      <c r="AA42" s="1" t="s">
        <v>341</v>
      </c>
      <c r="AB42" s="1" t="s">
        <v>328</v>
      </c>
      <c r="AC42" s="1">
        <v>1.0</v>
      </c>
      <c r="AD42" s="28">
        <f t="shared" si="4"/>
        <v>117720.12</v>
      </c>
    </row>
    <row r="43" ht="15.75" customHeight="1">
      <c r="A43" s="1" t="s">
        <v>43</v>
      </c>
      <c r="B43" s="1" t="s">
        <v>44</v>
      </c>
      <c r="C43" s="1" t="s">
        <v>261</v>
      </c>
      <c r="D43" s="1" t="s">
        <v>199</v>
      </c>
      <c r="E43" s="1" t="s">
        <v>280</v>
      </c>
      <c r="F43" s="1" t="s">
        <v>278</v>
      </c>
      <c r="G43" s="1" t="s">
        <v>370</v>
      </c>
      <c r="H43" s="1" t="s">
        <v>323</v>
      </c>
      <c r="I43" s="1" t="s">
        <v>316</v>
      </c>
      <c r="J43" s="1" t="s">
        <v>310</v>
      </c>
      <c r="K43" s="1" t="s">
        <v>359</v>
      </c>
      <c r="L43" s="1">
        <v>26.0</v>
      </c>
      <c r="M43" s="1">
        <v>26.0</v>
      </c>
      <c r="N43" s="1">
        <v>0.0</v>
      </c>
      <c r="O43" s="1">
        <v>0.5</v>
      </c>
      <c r="P43" s="1">
        <v>42.0</v>
      </c>
      <c r="Q43" s="28">
        <v>142595.0</v>
      </c>
      <c r="R43" s="28">
        <f t="shared" si="1"/>
        <v>71297.5</v>
      </c>
      <c r="S43" s="28">
        <f t="shared" si="2"/>
        <v>18537.35</v>
      </c>
      <c r="T43" s="28">
        <f t="shared" si="3"/>
        <v>0</v>
      </c>
      <c r="V43" s="1" t="s">
        <v>317</v>
      </c>
      <c r="W43" s="1" t="s">
        <v>317</v>
      </c>
      <c r="X43" s="1" t="s">
        <v>325</v>
      </c>
      <c r="Y43" s="1" t="s">
        <v>325</v>
      </c>
      <c r="Z43" s="1" t="s">
        <v>326</v>
      </c>
      <c r="AA43" s="1" t="s">
        <v>334</v>
      </c>
      <c r="AB43" s="1" t="s">
        <v>328</v>
      </c>
      <c r="AC43" s="1">
        <v>1.0</v>
      </c>
      <c r="AD43" s="28">
        <f t="shared" si="4"/>
        <v>71297.5</v>
      </c>
    </row>
    <row r="44" ht="15.75" customHeight="1">
      <c r="A44" s="1" t="s">
        <v>107</v>
      </c>
      <c r="B44" s="1" t="s">
        <v>108</v>
      </c>
      <c r="C44" s="1" t="s">
        <v>261</v>
      </c>
      <c r="D44" s="1" t="s">
        <v>193</v>
      </c>
      <c r="E44" s="1" t="s">
        <v>280</v>
      </c>
      <c r="F44" s="1" t="s">
        <v>278</v>
      </c>
      <c r="G44" s="1" t="s">
        <v>370</v>
      </c>
      <c r="H44" s="1" t="s">
        <v>323</v>
      </c>
      <c r="I44" s="1" t="s">
        <v>316</v>
      </c>
      <c r="J44" s="1" t="s">
        <v>310</v>
      </c>
      <c r="K44" s="1" t="s">
        <v>359</v>
      </c>
      <c r="L44" s="1">
        <v>29.0</v>
      </c>
      <c r="M44" s="1">
        <v>29.0</v>
      </c>
      <c r="N44" s="1">
        <v>0.0</v>
      </c>
      <c r="O44" s="1">
        <v>0.2</v>
      </c>
      <c r="P44" s="1">
        <v>43.0</v>
      </c>
      <c r="Q44" s="28">
        <v>309028.0</v>
      </c>
      <c r="R44" s="28">
        <f t="shared" si="1"/>
        <v>61805.6</v>
      </c>
      <c r="S44" s="28">
        <f t="shared" si="2"/>
        <v>17923.624</v>
      </c>
      <c r="T44" s="28">
        <f t="shared" si="3"/>
        <v>0</v>
      </c>
      <c r="V44" s="1" t="s">
        <v>317</v>
      </c>
      <c r="W44" s="1" t="s">
        <v>317</v>
      </c>
      <c r="X44" s="1" t="s">
        <v>325</v>
      </c>
      <c r="Y44" s="1" t="s">
        <v>325</v>
      </c>
      <c r="Z44" s="1" t="s">
        <v>326</v>
      </c>
      <c r="AA44" s="1" t="s">
        <v>334</v>
      </c>
      <c r="AB44" s="1" t="s">
        <v>328</v>
      </c>
      <c r="AC44" s="1">
        <v>1.0</v>
      </c>
      <c r="AD44" s="28">
        <f t="shared" si="4"/>
        <v>61805.6</v>
      </c>
    </row>
    <row r="45" ht="15.75" customHeight="1">
      <c r="A45" s="1" t="s">
        <v>79</v>
      </c>
      <c r="B45" s="1" t="s">
        <v>80</v>
      </c>
      <c r="C45" s="1" t="s">
        <v>261</v>
      </c>
      <c r="D45" s="1" t="s">
        <v>205</v>
      </c>
      <c r="E45" s="1" t="s">
        <v>315</v>
      </c>
      <c r="F45" s="1" t="s">
        <v>310</v>
      </c>
      <c r="G45" s="1" t="s">
        <v>310</v>
      </c>
      <c r="H45" s="1" t="s">
        <v>310</v>
      </c>
      <c r="I45" s="1" t="s">
        <v>317</v>
      </c>
      <c r="J45" s="1" t="s">
        <v>372</v>
      </c>
      <c r="K45" s="64" t="s">
        <v>339</v>
      </c>
      <c r="L45" s="1">
        <v>21.0</v>
      </c>
      <c r="M45" s="1">
        <v>14.03</v>
      </c>
      <c r="N45" s="1">
        <v>6.97</v>
      </c>
      <c r="O45" s="1">
        <v>0.4</v>
      </c>
      <c r="P45" s="1">
        <v>44.0</v>
      </c>
      <c r="Q45" s="28">
        <v>137278.0</v>
      </c>
      <c r="R45" s="28">
        <f t="shared" si="1"/>
        <v>54911.2</v>
      </c>
      <c r="S45" s="28">
        <f t="shared" si="2"/>
        <v>7704.04136</v>
      </c>
      <c r="T45" s="28">
        <f t="shared" si="3"/>
        <v>3827.31064</v>
      </c>
      <c r="V45" s="1" t="s">
        <v>317</v>
      </c>
      <c r="W45" s="1" t="s">
        <v>317</v>
      </c>
      <c r="X45" s="1" t="s">
        <v>325</v>
      </c>
      <c r="Y45" s="1" t="s">
        <v>340</v>
      </c>
      <c r="Z45" s="1" t="s">
        <v>326</v>
      </c>
      <c r="AA45" s="1" t="s">
        <v>341</v>
      </c>
      <c r="AB45" s="1" t="s">
        <v>328</v>
      </c>
      <c r="AC45" s="1">
        <v>1.0</v>
      </c>
      <c r="AD45" s="28">
        <f t="shared" si="4"/>
        <v>54911.2</v>
      </c>
    </row>
    <row r="46" ht="15.75" customHeight="1">
      <c r="A46" s="1" t="s">
        <v>105</v>
      </c>
      <c r="B46" s="1" t="s">
        <v>106</v>
      </c>
      <c r="C46" s="1" t="s">
        <v>234</v>
      </c>
      <c r="D46" s="1" t="s">
        <v>205</v>
      </c>
      <c r="E46" s="1" t="s">
        <v>273</v>
      </c>
      <c r="F46" s="1" t="s">
        <v>274</v>
      </c>
      <c r="G46" s="1" t="s">
        <v>274</v>
      </c>
      <c r="H46" s="1" t="s">
        <v>274</v>
      </c>
      <c r="I46" s="1" t="s">
        <v>274</v>
      </c>
      <c r="J46" s="1" t="s">
        <v>274</v>
      </c>
      <c r="K46" s="1" t="s">
        <v>227</v>
      </c>
      <c r="L46" s="1">
        <v>0.0</v>
      </c>
      <c r="M46" s="1">
        <v>0.0</v>
      </c>
      <c r="N46" s="1">
        <v>0.0</v>
      </c>
      <c r="O46" s="1">
        <v>0.185</v>
      </c>
      <c r="P46" s="1">
        <v>45.0</v>
      </c>
      <c r="Q46" s="28">
        <v>206592.0</v>
      </c>
      <c r="R46" s="28">
        <f t="shared" si="1"/>
        <v>38219.52</v>
      </c>
      <c r="S46" s="28">
        <f t="shared" si="2"/>
        <v>0</v>
      </c>
      <c r="T46" s="28">
        <f t="shared" si="3"/>
        <v>0</v>
      </c>
      <c r="V46" s="1" t="s">
        <v>316</v>
      </c>
      <c r="W46" s="1" t="s">
        <v>316</v>
      </c>
      <c r="X46" s="1" t="s">
        <v>318</v>
      </c>
      <c r="Y46" s="1" t="s">
        <v>318</v>
      </c>
      <c r="Z46" s="1" t="s">
        <v>374</v>
      </c>
      <c r="AA46" s="1" t="s">
        <v>321</v>
      </c>
      <c r="AB46" s="1" t="s">
        <v>322</v>
      </c>
      <c r="AC46" s="1">
        <v>1.0</v>
      </c>
      <c r="AD46" s="28">
        <f t="shared" si="4"/>
        <v>38219.52</v>
      </c>
    </row>
    <row r="47" ht="15.75" customHeight="1">
      <c r="A47" s="1" t="s">
        <v>49</v>
      </c>
      <c r="B47" s="1" t="s">
        <v>50</v>
      </c>
      <c r="C47" s="1" t="s">
        <v>236</v>
      </c>
      <c r="D47" s="1" t="s">
        <v>207</v>
      </c>
      <c r="E47" s="1" t="s">
        <v>285</v>
      </c>
      <c r="F47" s="1" t="s">
        <v>278</v>
      </c>
      <c r="G47" s="1" t="s">
        <v>375</v>
      </c>
      <c r="H47" s="1" t="s">
        <v>323</v>
      </c>
      <c r="I47" s="1" t="s">
        <v>316</v>
      </c>
      <c r="J47" s="1" t="s">
        <v>310</v>
      </c>
      <c r="K47" s="1" t="s">
        <v>359</v>
      </c>
      <c r="L47" s="1">
        <v>30.0</v>
      </c>
      <c r="M47" s="1">
        <v>30.0</v>
      </c>
      <c r="N47" s="1">
        <v>0.0</v>
      </c>
      <c r="O47" s="1">
        <v>5.0</v>
      </c>
      <c r="P47" s="1">
        <v>46.0</v>
      </c>
      <c r="Q47" s="28">
        <v>7632.0</v>
      </c>
      <c r="R47" s="28">
        <f t="shared" si="1"/>
        <v>38160</v>
      </c>
      <c r="S47" s="28">
        <f t="shared" si="2"/>
        <v>11448</v>
      </c>
      <c r="T47" s="28">
        <f t="shared" si="3"/>
        <v>0</v>
      </c>
      <c r="V47" s="1" t="s">
        <v>317</v>
      </c>
      <c r="W47" s="1" t="s">
        <v>317</v>
      </c>
      <c r="X47" s="1" t="s">
        <v>325</v>
      </c>
      <c r="Y47" s="1" t="s">
        <v>325</v>
      </c>
      <c r="Z47" s="1" t="s">
        <v>326</v>
      </c>
      <c r="AA47" s="1" t="s">
        <v>344</v>
      </c>
      <c r="AB47" s="1" t="s">
        <v>328</v>
      </c>
      <c r="AC47" s="1">
        <v>1.0</v>
      </c>
      <c r="AD47" s="28">
        <f t="shared" si="4"/>
        <v>38160</v>
      </c>
    </row>
    <row r="48" ht="15.75" customHeight="1">
      <c r="A48" s="1" t="s">
        <v>75</v>
      </c>
      <c r="B48" s="1" t="s">
        <v>76</v>
      </c>
      <c r="C48" s="1" t="s">
        <v>261</v>
      </c>
      <c r="D48" s="1" t="s">
        <v>208</v>
      </c>
      <c r="E48" s="1" t="s">
        <v>309</v>
      </c>
      <c r="F48" s="1" t="s">
        <v>310</v>
      </c>
      <c r="G48" s="1" t="s">
        <v>310</v>
      </c>
      <c r="H48" s="1" t="s">
        <v>310</v>
      </c>
      <c r="I48" s="1" t="s">
        <v>317</v>
      </c>
      <c r="J48" s="1" t="s">
        <v>376</v>
      </c>
      <c r="K48" s="1" t="s">
        <v>308</v>
      </c>
      <c r="L48" s="1">
        <v>25.0</v>
      </c>
      <c r="M48" s="1">
        <v>25.0</v>
      </c>
      <c r="N48" s="1">
        <v>0.0</v>
      </c>
      <c r="O48" s="1">
        <v>0.5</v>
      </c>
      <c r="P48" s="1">
        <v>47.0</v>
      </c>
      <c r="Q48" s="28">
        <v>65819.0</v>
      </c>
      <c r="R48" s="28">
        <f t="shared" si="1"/>
        <v>32909.5</v>
      </c>
      <c r="S48" s="28">
        <f t="shared" si="2"/>
        <v>8227.375</v>
      </c>
      <c r="T48" s="28">
        <f t="shared" si="3"/>
        <v>0</v>
      </c>
      <c r="V48" s="1" t="s">
        <v>317</v>
      </c>
      <c r="W48" s="1" t="s">
        <v>317</v>
      </c>
      <c r="X48" s="1" t="s">
        <v>340</v>
      </c>
      <c r="Y48" s="1" t="s">
        <v>325</v>
      </c>
      <c r="Z48" s="1" t="s">
        <v>326</v>
      </c>
      <c r="AA48" s="1" t="s">
        <v>321</v>
      </c>
      <c r="AB48" s="1" t="s">
        <v>328</v>
      </c>
      <c r="AC48" s="1">
        <v>1.0</v>
      </c>
      <c r="AD48" s="28">
        <f t="shared" si="4"/>
        <v>32909.5</v>
      </c>
    </row>
    <row r="49" ht="15.75" customHeight="1">
      <c r="A49" s="1" t="s">
        <v>57</v>
      </c>
      <c r="B49" s="1" t="s">
        <v>58</v>
      </c>
      <c r="C49" s="1" t="s">
        <v>249</v>
      </c>
      <c r="D49" s="1" t="s">
        <v>208</v>
      </c>
      <c r="E49" s="1" t="s">
        <v>335</v>
      </c>
      <c r="F49" s="1" t="s">
        <v>278</v>
      </c>
      <c r="G49" s="1" t="s">
        <v>378</v>
      </c>
      <c r="H49" s="1" t="s">
        <v>330</v>
      </c>
      <c r="I49" s="1" t="s">
        <v>316</v>
      </c>
      <c r="J49" s="1" t="s">
        <v>310</v>
      </c>
      <c r="K49" s="64" t="s">
        <v>339</v>
      </c>
      <c r="L49" s="1">
        <v>16.0</v>
      </c>
      <c r="M49" s="1">
        <v>8.0</v>
      </c>
      <c r="N49" s="1">
        <v>8.0</v>
      </c>
      <c r="O49" s="1">
        <v>0.21</v>
      </c>
      <c r="P49" s="1">
        <v>48.0</v>
      </c>
      <c r="Q49" s="28">
        <v>92609.0</v>
      </c>
      <c r="R49" s="28">
        <f t="shared" si="1"/>
        <v>19447.89</v>
      </c>
      <c r="S49" s="28">
        <f t="shared" si="2"/>
        <v>1555.8312</v>
      </c>
      <c r="T49" s="28">
        <f t="shared" si="3"/>
        <v>1555.8312</v>
      </c>
      <c r="V49" s="1" t="s">
        <v>317</v>
      </c>
      <c r="W49" s="1" t="s">
        <v>317</v>
      </c>
      <c r="X49" s="1" t="s">
        <v>340</v>
      </c>
      <c r="Y49" s="1" t="s">
        <v>340</v>
      </c>
      <c r="Z49" s="1" t="s">
        <v>326</v>
      </c>
      <c r="AA49" s="1" t="s">
        <v>362</v>
      </c>
      <c r="AB49" s="1" t="s">
        <v>328</v>
      </c>
      <c r="AC49" s="1">
        <v>1.0</v>
      </c>
      <c r="AD49" s="28">
        <f t="shared" si="4"/>
        <v>19447.89</v>
      </c>
    </row>
    <row r="50" ht="15.75" customHeight="1">
      <c r="A50" s="1" t="s">
        <v>59</v>
      </c>
      <c r="B50" s="1" t="s">
        <v>60</v>
      </c>
      <c r="C50" s="1" t="s">
        <v>260</v>
      </c>
      <c r="D50" s="1" t="s">
        <v>199</v>
      </c>
      <c r="E50" s="1" t="s">
        <v>312</v>
      </c>
      <c r="F50" s="1" t="s">
        <v>278</v>
      </c>
      <c r="G50" s="1" t="s">
        <v>379</v>
      </c>
      <c r="H50" s="1" t="s">
        <v>323</v>
      </c>
      <c r="I50" s="1" t="s">
        <v>316</v>
      </c>
      <c r="J50" s="1" t="s">
        <v>310</v>
      </c>
      <c r="K50" s="1" t="s">
        <v>359</v>
      </c>
      <c r="L50" s="1">
        <v>16.0</v>
      </c>
      <c r="M50" s="1">
        <v>16.0</v>
      </c>
      <c r="N50" s="1">
        <v>0.0</v>
      </c>
      <c r="O50" s="1">
        <v>0.4</v>
      </c>
      <c r="P50" s="1">
        <v>49.0</v>
      </c>
      <c r="Q50" s="28">
        <v>36976.0</v>
      </c>
      <c r="R50" s="28">
        <f t="shared" si="1"/>
        <v>14790.4</v>
      </c>
      <c r="S50" s="28">
        <f t="shared" si="2"/>
        <v>2366.464</v>
      </c>
      <c r="T50" s="28">
        <f t="shared" si="3"/>
        <v>0</v>
      </c>
      <c r="V50" s="1" t="s">
        <v>317</v>
      </c>
      <c r="W50" s="1" t="s">
        <v>317</v>
      </c>
      <c r="X50" s="1" t="s">
        <v>325</v>
      </c>
      <c r="Y50" s="1" t="s">
        <v>325</v>
      </c>
      <c r="Z50" s="1" t="s">
        <v>326</v>
      </c>
      <c r="AA50" s="1" t="s">
        <v>334</v>
      </c>
      <c r="AB50" s="1" t="s">
        <v>328</v>
      </c>
      <c r="AC50" s="1">
        <v>1.0</v>
      </c>
      <c r="AD50" s="28">
        <f t="shared" si="4"/>
        <v>14790.4</v>
      </c>
    </row>
    <row r="51" ht="15.75" customHeight="1">
      <c r="A51" s="1" t="s">
        <v>67</v>
      </c>
      <c r="B51" s="1" t="s">
        <v>68</v>
      </c>
      <c r="C51" s="1" t="s">
        <v>234</v>
      </c>
      <c r="D51" s="1" t="s">
        <v>205</v>
      </c>
      <c r="E51" s="1" t="s">
        <v>347</v>
      </c>
      <c r="F51" s="1" t="s">
        <v>278</v>
      </c>
      <c r="G51" s="1" t="s">
        <v>380</v>
      </c>
      <c r="H51" s="1" t="s">
        <v>330</v>
      </c>
      <c r="I51" s="1" t="s">
        <v>316</v>
      </c>
      <c r="J51" s="1" t="s">
        <v>310</v>
      </c>
      <c r="K51" s="1" t="s">
        <v>331</v>
      </c>
      <c r="L51" s="1">
        <v>16.0</v>
      </c>
      <c r="M51" s="1">
        <v>0.0</v>
      </c>
      <c r="N51" s="1">
        <v>16.0</v>
      </c>
      <c r="O51" s="1">
        <v>0.5</v>
      </c>
      <c r="P51" s="1">
        <v>50.0</v>
      </c>
      <c r="Q51" s="28">
        <v>18788.0</v>
      </c>
      <c r="R51" s="28">
        <f t="shared" si="1"/>
        <v>9394</v>
      </c>
      <c r="S51" s="28">
        <f t="shared" si="2"/>
        <v>0</v>
      </c>
      <c r="T51" s="28">
        <f t="shared" si="3"/>
        <v>1503.04</v>
      </c>
      <c r="V51" s="1" t="s">
        <v>317</v>
      </c>
      <c r="W51" s="1" t="s">
        <v>317</v>
      </c>
      <c r="X51" s="1" t="s">
        <v>348</v>
      </c>
      <c r="Y51" s="1" t="s">
        <v>349</v>
      </c>
      <c r="Z51" s="1" t="s">
        <v>357</v>
      </c>
      <c r="AA51" s="1" t="s">
        <v>344</v>
      </c>
      <c r="AB51" s="1" t="s">
        <v>322</v>
      </c>
      <c r="AC51" s="1">
        <v>1.0</v>
      </c>
      <c r="AD51" s="28">
        <f t="shared" si="4"/>
        <v>9394</v>
      </c>
    </row>
    <row r="52" ht="15.75" customHeight="1">
      <c r="A52" s="1"/>
      <c r="Q52" s="55"/>
    </row>
    <row r="53" ht="15.75" customHeight="1">
      <c r="Q53" s="55"/>
    </row>
    <row r="54" ht="15.75" customHeight="1">
      <c r="Q54" s="55"/>
    </row>
    <row r="55" ht="15.75" customHeight="1">
      <c r="Q55" s="55"/>
    </row>
    <row r="56" ht="15.75" customHeight="1">
      <c r="Q56" s="55"/>
    </row>
    <row r="57" ht="15.75" customHeight="1">
      <c r="Q57" s="55"/>
    </row>
    <row r="58" ht="15.75" customHeight="1">
      <c r="Q58" s="55"/>
    </row>
    <row r="59" ht="15.75" customHeight="1">
      <c r="Q59" s="55"/>
    </row>
    <row r="60" ht="15.75" customHeight="1">
      <c r="Q60" s="55"/>
    </row>
    <row r="61" ht="15.75" customHeight="1">
      <c r="Q61" s="55"/>
    </row>
    <row r="62" ht="15.75" customHeight="1">
      <c r="Q62" s="55"/>
    </row>
    <row r="63" ht="15.75" customHeight="1">
      <c r="Q63" s="55"/>
    </row>
    <row r="64" ht="15.75" customHeight="1">
      <c r="Q64" s="55"/>
    </row>
    <row r="65" ht="15.75" customHeight="1">
      <c r="Q65" s="55"/>
    </row>
    <row r="66" ht="15.75" customHeight="1">
      <c r="Q66" s="55"/>
    </row>
    <row r="67" ht="15.75" customHeight="1">
      <c r="Q67" s="55"/>
    </row>
    <row r="68" ht="15.75" customHeight="1">
      <c r="Q68" s="55"/>
    </row>
    <row r="69" ht="15.75" customHeight="1">
      <c r="Q69" s="55"/>
    </row>
    <row r="70" ht="15.75" customHeight="1">
      <c r="Q70" s="55"/>
    </row>
    <row r="71" ht="15.75" customHeight="1">
      <c r="Q71" s="55"/>
    </row>
    <row r="72" ht="15.75" customHeight="1">
      <c r="Q72" s="55"/>
    </row>
    <row r="73" ht="15.75" customHeight="1">
      <c r="Q73" s="55"/>
    </row>
    <row r="74" ht="15.75" customHeight="1">
      <c r="Q74" s="55"/>
    </row>
    <row r="75" ht="15.75" customHeight="1">
      <c r="Q75" s="55"/>
    </row>
    <row r="76" ht="15.75" customHeight="1">
      <c r="Q76" s="55"/>
    </row>
    <row r="77" ht="15.75" customHeight="1">
      <c r="Q77" s="55"/>
    </row>
    <row r="78" ht="15.75" customHeight="1">
      <c r="Q78" s="55"/>
    </row>
    <row r="79" ht="15.75" customHeight="1">
      <c r="Q79" s="55"/>
    </row>
    <row r="80" ht="15.75" customHeight="1">
      <c r="Q80" s="55"/>
    </row>
    <row r="81" ht="15.75" customHeight="1">
      <c r="Q81" s="55"/>
    </row>
    <row r="82" ht="15.75" customHeight="1">
      <c r="Q82" s="55"/>
    </row>
    <row r="83" ht="15.75" customHeight="1">
      <c r="Q83" s="55"/>
    </row>
    <row r="84" ht="15.75" customHeight="1">
      <c r="Q84" s="55"/>
    </row>
    <row r="85" ht="15.75" customHeight="1">
      <c r="Q85" s="55"/>
    </row>
    <row r="86" ht="15.75" customHeight="1">
      <c r="Q86" s="55"/>
    </row>
    <row r="87" ht="15.75" customHeight="1">
      <c r="Q87" s="55"/>
    </row>
    <row r="88" ht="15.75" customHeight="1">
      <c r="Q88" s="55"/>
    </row>
    <row r="89" ht="15.75" customHeight="1">
      <c r="Q89" s="55"/>
    </row>
    <row r="90" ht="15.75" customHeight="1">
      <c r="Q90" s="55"/>
    </row>
    <row r="91" ht="15.75" customHeight="1">
      <c r="Q91" s="55"/>
    </row>
    <row r="92" ht="15.75" customHeight="1">
      <c r="Q92" s="55"/>
    </row>
    <row r="93" ht="15.75" customHeight="1">
      <c r="Q93" s="55"/>
    </row>
    <row r="94" ht="15.75" customHeight="1">
      <c r="Q94" s="55"/>
    </row>
    <row r="95" ht="15.75" customHeight="1">
      <c r="Q95" s="55"/>
    </row>
    <row r="96" ht="15.75" customHeight="1">
      <c r="Q96" s="55"/>
    </row>
    <row r="97" ht="15.75" customHeight="1">
      <c r="Q97" s="55"/>
    </row>
    <row r="98" ht="15.75" customHeight="1">
      <c r="Q98" s="55"/>
    </row>
    <row r="99" ht="15.75" customHeight="1">
      <c r="Q99" s="55"/>
    </row>
    <row r="100" ht="15.75" customHeight="1">
      <c r="Q100" s="55"/>
    </row>
    <row r="101" ht="15.75" customHeight="1">
      <c r="Q101" s="55"/>
    </row>
    <row r="102" ht="15.75" customHeight="1">
      <c r="Q102" s="55"/>
    </row>
    <row r="103" ht="15.75" customHeight="1">
      <c r="Q103" s="55"/>
    </row>
    <row r="104" ht="15.75" customHeight="1">
      <c r="Q104" s="55"/>
    </row>
    <row r="105" ht="15.75" customHeight="1">
      <c r="Q105" s="55"/>
    </row>
    <row r="106" ht="15.75" customHeight="1">
      <c r="Q106" s="55"/>
    </row>
    <row r="107" ht="15.75" customHeight="1">
      <c r="Q107" s="55"/>
    </row>
    <row r="108" ht="15.75" customHeight="1">
      <c r="Q108" s="55"/>
    </row>
    <row r="109" ht="15.75" customHeight="1">
      <c r="Q109" s="55"/>
    </row>
    <row r="110" ht="15.75" customHeight="1">
      <c r="Q110" s="55"/>
    </row>
    <row r="111" ht="15.75" customHeight="1">
      <c r="Q111" s="55"/>
    </row>
    <row r="112" ht="15.75" customHeight="1">
      <c r="Q112" s="55"/>
    </row>
    <row r="113" ht="15.75" customHeight="1">
      <c r="Q113" s="55"/>
    </row>
    <row r="114" ht="15.75" customHeight="1">
      <c r="Q114" s="55"/>
    </row>
    <row r="115" ht="15.75" customHeight="1">
      <c r="Q115" s="55"/>
    </row>
    <row r="116" ht="15.75" customHeight="1">
      <c r="Q116" s="55"/>
    </row>
    <row r="117" ht="15.75" customHeight="1">
      <c r="Q117" s="55"/>
    </row>
    <row r="118" ht="15.75" customHeight="1">
      <c r="Q118" s="55"/>
    </row>
    <row r="119" ht="15.75" customHeight="1">
      <c r="Q119" s="55"/>
    </row>
    <row r="120" ht="15.75" customHeight="1">
      <c r="Q120" s="55"/>
    </row>
    <row r="121" ht="15.75" customHeight="1">
      <c r="Q121" s="55"/>
    </row>
    <row r="122" ht="15.75" customHeight="1">
      <c r="Q122" s="55"/>
    </row>
    <row r="123" ht="15.75" customHeight="1">
      <c r="Q123" s="55"/>
    </row>
    <row r="124" ht="15.75" customHeight="1">
      <c r="Q124" s="55"/>
    </row>
    <row r="125" ht="15.75" customHeight="1">
      <c r="Q125" s="55"/>
    </row>
    <row r="126" ht="15.75" customHeight="1">
      <c r="Q126" s="55"/>
    </row>
    <row r="127" ht="15.75" customHeight="1">
      <c r="Q127" s="55"/>
    </row>
    <row r="128" ht="15.75" customHeight="1">
      <c r="Q128" s="55"/>
    </row>
    <row r="129" ht="15.75" customHeight="1">
      <c r="Q129" s="55"/>
    </row>
    <row r="130" ht="15.75" customHeight="1">
      <c r="Q130" s="55"/>
    </row>
    <row r="131" ht="15.75" customHeight="1">
      <c r="Q131" s="55"/>
    </row>
    <row r="132" ht="15.75" customHeight="1">
      <c r="Q132" s="55"/>
    </row>
    <row r="133" ht="15.75" customHeight="1">
      <c r="Q133" s="55"/>
    </row>
    <row r="134" ht="15.75" customHeight="1">
      <c r="Q134" s="55"/>
    </row>
    <row r="135" ht="15.75" customHeight="1">
      <c r="Q135" s="55"/>
    </row>
    <row r="136" ht="15.75" customHeight="1">
      <c r="Q136" s="55"/>
    </row>
    <row r="137" ht="15.75" customHeight="1">
      <c r="Q137" s="55"/>
    </row>
    <row r="138" ht="15.75" customHeight="1">
      <c r="Q138" s="55"/>
    </row>
    <row r="139" ht="15.75" customHeight="1">
      <c r="Q139" s="55"/>
    </row>
    <row r="140" ht="15.75" customHeight="1">
      <c r="Q140" s="55"/>
    </row>
    <row r="141" ht="15.75" customHeight="1">
      <c r="Q141" s="55"/>
    </row>
    <row r="142" ht="15.75" customHeight="1">
      <c r="Q142" s="55"/>
    </row>
    <row r="143" ht="15.75" customHeight="1">
      <c r="Q143" s="55"/>
    </row>
    <row r="144" ht="15.75" customHeight="1">
      <c r="Q144" s="55"/>
    </row>
    <row r="145" ht="15.75" customHeight="1">
      <c r="Q145" s="55"/>
    </row>
    <row r="146" ht="15.75" customHeight="1">
      <c r="Q146" s="55"/>
    </row>
    <row r="147" ht="15.75" customHeight="1">
      <c r="Q147" s="55"/>
    </row>
    <row r="148" ht="15.75" customHeight="1">
      <c r="Q148" s="55"/>
    </row>
    <row r="149" ht="15.75" customHeight="1">
      <c r="Q149" s="55"/>
    </row>
    <row r="150" ht="15.75" customHeight="1">
      <c r="Q150" s="55"/>
    </row>
    <row r="151" ht="15.75" customHeight="1">
      <c r="Q151" s="55"/>
    </row>
    <row r="152" ht="15.75" customHeight="1">
      <c r="Q152" s="55"/>
    </row>
    <row r="153" ht="15.75" customHeight="1">
      <c r="Q153" s="55"/>
    </row>
    <row r="154" ht="15.75" customHeight="1">
      <c r="Q154" s="55"/>
    </row>
    <row r="155" ht="15.75" customHeight="1">
      <c r="Q155" s="55"/>
    </row>
    <row r="156" ht="15.75" customHeight="1">
      <c r="Q156" s="55"/>
    </row>
    <row r="157" ht="15.75" customHeight="1">
      <c r="Q157" s="55"/>
    </row>
    <row r="158" ht="15.75" customHeight="1">
      <c r="Q158" s="55"/>
    </row>
    <row r="159" ht="15.75" customHeight="1">
      <c r="Q159" s="55"/>
    </row>
    <row r="160" ht="15.75" customHeight="1">
      <c r="Q160" s="55"/>
    </row>
    <row r="161" ht="15.75" customHeight="1">
      <c r="Q161" s="55"/>
    </row>
    <row r="162" ht="15.75" customHeight="1">
      <c r="Q162" s="55"/>
    </row>
    <row r="163" ht="15.75" customHeight="1">
      <c r="Q163" s="55"/>
    </row>
    <row r="164" ht="15.75" customHeight="1">
      <c r="Q164" s="55"/>
    </row>
    <row r="165" ht="15.75" customHeight="1">
      <c r="Q165" s="55"/>
    </row>
    <row r="166" ht="15.75" customHeight="1">
      <c r="Q166" s="55"/>
    </row>
    <row r="167" ht="15.75" customHeight="1">
      <c r="Q167" s="55"/>
    </row>
    <row r="168" ht="15.75" customHeight="1">
      <c r="Q168" s="55"/>
    </row>
    <row r="169" ht="15.75" customHeight="1">
      <c r="Q169" s="55"/>
    </row>
    <row r="170" ht="15.75" customHeight="1">
      <c r="Q170" s="55"/>
    </row>
    <row r="171" ht="15.75" customHeight="1">
      <c r="Q171" s="55"/>
    </row>
    <row r="172" ht="15.75" customHeight="1">
      <c r="Q172" s="55"/>
    </row>
    <row r="173" ht="15.75" customHeight="1">
      <c r="Q173" s="55"/>
    </row>
    <row r="174" ht="15.75" customHeight="1">
      <c r="Q174" s="55"/>
    </row>
    <row r="175" ht="15.75" customHeight="1">
      <c r="Q175" s="55"/>
    </row>
    <row r="176" ht="15.75" customHeight="1">
      <c r="Q176" s="55"/>
    </row>
    <row r="177" ht="15.75" customHeight="1">
      <c r="Q177" s="55"/>
    </row>
    <row r="178" ht="15.75" customHeight="1">
      <c r="Q178" s="55"/>
    </row>
    <row r="179" ht="15.75" customHeight="1">
      <c r="Q179" s="55"/>
    </row>
    <row r="180" ht="15.75" customHeight="1">
      <c r="Q180" s="55"/>
    </row>
    <row r="181" ht="15.75" customHeight="1">
      <c r="Q181" s="55"/>
    </row>
    <row r="182" ht="15.75" customHeight="1">
      <c r="Q182" s="55"/>
    </row>
    <row r="183" ht="15.75" customHeight="1">
      <c r="Q183" s="55"/>
    </row>
    <row r="184" ht="15.75" customHeight="1">
      <c r="Q184" s="55"/>
    </row>
    <row r="185" ht="15.75" customHeight="1">
      <c r="Q185" s="55"/>
    </row>
    <row r="186" ht="15.75" customHeight="1">
      <c r="Q186" s="55"/>
    </row>
    <row r="187" ht="15.75" customHeight="1">
      <c r="Q187" s="55"/>
    </row>
    <row r="188" ht="15.75" customHeight="1">
      <c r="Q188" s="55"/>
    </row>
    <row r="189" ht="15.75" customHeight="1">
      <c r="Q189" s="55"/>
    </row>
    <row r="190" ht="15.75" customHeight="1">
      <c r="Q190" s="55"/>
    </row>
    <row r="191" ht="15.75" customHeight="1">
      <c r="Q191" s="55"/>
    </row>
    <row r="192" ht="15.75" customHeight="1">
      <c r="Q192" s="55"/>
    </row>
    <row r="193" ht="15.75" customHeight="1">
      <c r="Q193" s="55"/>
    </row>
    <row r="194" ht="15.75" customHeight="1">
      <c r="Q194" s="55"/>
    </row>
    <row r="195" ht="15.75" customHeight="1">
      <c r="Q195" s="55"/>
    </row>
    <row r="196" ht="15.75" customHeight="1">
      <c r="Q196" s="55"/>
    </row>
    <row r="197" ht="15.75" customHeight="1">
      <c r="Q197" s="55"/>
    </row>
    <row r="198" ht="15.75" customHeight="1">
      <c r="Q198" s="55"/>
    </row>
    <row r="199" ht="15.75" customHeight="1">
      <c r="Q199" s="55"/>
    </row>
    <row r="200" ht="15.75" customHeight="1">
      <c r="Q200" s="55"/>
    </row>
    <row r="201" ht="15.75" customHeight="1">
      <c r="Q201" s="55"/>
    </row>
    <row r="202" ht="15.75" customHeight="1">
      <c r="Q202" s="55"/>
    </row>
    <row r="203" ht="15.75" customHeight="1">
      <c r="Q203" s="55"/>
    </row>
    <row r="204" ht="15.75" customHeight="1">
      <c r="Q204" s="55"/>
    </row>
    <row r="205" ht="15.75" customHeight="1">
      <c r="Q205" s="55"/>
    </row>
    <row r="206" ht="15.75" customHeight="1">
      <c r="Q206" s="55"/>
    </row>
    <row r="207" ht="15.75" customHeight="1">
      <c r="Q207" s="55"/>
    </row>
    <row r="208" ht="15.75" customHeight="1">
      <c r="Q208" s="55"/>
    </row>
    <row r="209" ht="15.75" customHeight="1">
      <c r="Q209" s="55"/>
    </row>
    <row r="210" ht="15.75" customHeight="1">
      <c r="Q210" s="55"/>
    </row>
    <row r="211" ht="15.75" customHeight="1">
      <c r="Q211" s="55"/>
    </row>
    <row r="212" ht="15.75" customHeight="1">
      <c r="Q212" s="55"/>
    </row>
    <row r="213" ht="15.75" customHeight="1">
      <c r="Q213" s="55"/>
    </row>
    <row r="214" ht="15.75" customHeight="1">
      <c r="Q214" s="55"/>
    </row>
    <row r="215" ht="15.75" customHeight="1">
      <c r="Q215" s="55"/>
    </row>
    <row r="216" ht="15.75" customHeight="1">
      <c r="Q216" s="55"/>
    </row>
    <row r="217" ht="15.75" customHeight="1">
      <c r="Q217" s="55"/>
    </row>
    <row r="218" ht="15.75" customHeight="1">
      <c r="Q218" s="55"/>
    </row>
    <row r="219" ht="15.75" customHeight="1">
      <c r="Q219" s="55"/>
    </row>
    <row r="220" ht="15.75" customHeight="1">
      <c r="Q220" s="55"/>
    </row>
    <row r="221" ht="15.75" customHeight="1">
      <c r="Q221" s="55"/>
    </row>
    <row r="222" ht="15.75" customHeight="1">
      <c r="Q222" s="55"/>
    </row>
    <row r="223" ht="15.75" customHeight="1">
      <c r="Q223" s="55"/>
    </row>
    <row r="224" ht="15.75" customHeight="1">
      <c r="Q224" s="55"/>
    </row>
    <row r="225" ht="15.75" customHeight="1">
      <c r="Q225" s="55"/>
    </row>
    <row r="226" ht="15.75" customHeight="1">
      <c r="Q226" s="55"/>
    </row>
    <row r="227" ht="15.75" customHeight="1">
      <c r="Q227" s="55"/>
    </row>
    <row r="228" ht="15.75" customHeight="1">
      <c r="Q228" s="55"/>
    </row>
    <row r="229" ht="15.75" customHeight="1">
      <c r="Q229" s="55"/>
    </row>
    <row r="230" ht="15.75" customHeight="1">
      <c r="Q230" s="55"/>
    </row>
    <row r="231" ht="15.75" customHeight="1">
      <c r="Q231" s="55"/>
    </row>
    <row r="232" ht="15.75" customHeight="1">
      <c r="Q232" s="55"/>
    </row>
    <row r="233" ht="15.75" customHeight="1">
      <c r="Q233" s="55"/>
    </row>
    <row r="234" ht="15.75" customHeight="1">
      <c r="Q234" s="55"/>
    </row>
    <row r="235" ht="15.75" customHeight="1">
      <c r="Q235" s="55"/>
    </row>
    <row r="236" ht="15.75" customHeight="1">
      <c r="Q236" s="55"/>
    </row>
    <row r="237" ht="15.75" customHeight="1">
      <c r="Q237" s="55"/>
    </row>
    <row r="238" ht="15.75" customHeight="1">
      <c r="Q238" s="55"/>
    </row>
    <row r="239" ht="15.75" customHeight="1">
      <c r="Q239" s="55"/>
    </row>
    <row r="240" ht="15.75" customHeight="1">
      <c r="Q240" s="55"/>
    </row>
    <row r="241" ht="15.75" customHeight="1">
      <c r="Q241" s="55"/>
    </row>
    <row r="242" ht="15.75" customHeight="1">
      <c r="Q242" s="55"/>
    </row>
    <row r="243" ht="15.75" customHeight="1">
      <c r="Q243" s="55"/>
    </row>
    <row r="244" ht="15.75" customHeight="1">
      <c r="Q244" s="55"/>
    </row>
    <row r="245" ht="15.75" customHeight="1">
      <c r="Q245" s="55"/>
    </row>
    <row r="246" ht="15.75" customHeight="1">
      <c r="Q246" s="55"/>
    </row>
    <row r="247" ht="15.75" customHeight="1">
      <c r="Q247" s="55"/>
    </row>
    <row r="248" ht="15.75" customHeight="1">
      <c r="Q248" s="55"/>
    </row>
    <row r="249" ht="15.75" customHeight="1">
      <c r="Q249" s="55"/>
    </row>
    <row r="250" ht="15.75" customHeight="1">
      <c r="Q250" s="55"/>
    </row>
    <row r="251" ht="15.75" customHeight="1">
      <c r="Q251" s="55"/>
    </row>
    <row r="252" ht="15.75" customHeight="1">
      <c r="Q252" s="55"/>
    </row>
    <row r="253" ht="15.75" customHeight="1">
      <c r="Q253" s="55"/>
    </row>
    <row r="254" ht="15.75" customHeight="1">
      <c r="Q254" s="55"/>
    </row>
    <row r="255" ht="15.75" customHeight="1">
      <c r="Q255" s="55"/>
    </row>
    <row r="256" ht="15.75" customHeight="1">
      <c r="Q256" s="55"/>
    </row>
    <row r="257" ht="15.75" customHeight="1">
      <c r="Q257" s="55"/>
    </row>
    <row r="258" ht="15.75" customHeight="1">
      <c r="Q258" s="55"/>
    </row>
    <row r="259" ht="15.75" customHeight="1">
      <c r="Q259" s="55"/>
    </row>
    <row r="260" ht="15.75" customHeight="1">
      <c r="Q260" s="55"/>
    </row>
    <row r="261" ht="15.75" customHeight="1">
      <c r="Q261" s="55"/>
    </row>
    <row r="262" ht="15.75" customHeight="1">
      <c r="Q262" s="55"/>
    </row>
    <row r="263" ht="15.75" customHeight="1">
      <c r="Q263" s="55"/>
    </row>
    <row r="264" ht="15.75" customHeight="1">
      <c r="Q264" s="55"/>
    </row>
    <row r="265" ht="15.75" customHeight="1">
      <c r="Q265" s="55"/>
    </row>
    <row r="266" ht="15.75" customHeight="1">
      <c r="Q266" s="55"/>
    </row>
    <row r="267" ht="15.75" customHeight="1">
      <c r="Q267" s="55"/>
    </row>
    <row r="268" ht="15.75" customHeight="1">
      <c r="Q268" s="55"/>
    </row>
    <row r="269" ht="15.75" customHeight="1">
      <c r="Q269" s="55"/>
    </row>
    <row r="270" ht="15.75" customHeight="1">
      <c r="Q270" s="55"/>
    </row>
    <row r="271" ht="15.75" customHeight="1">
      <c r="Q271" s="55"/>
    </row>
    <row r="272" ht="15.75" customHeight="1">
      <c r="Q272" s="55"/>
    </row>
    <row r="273" ht="15.75" customHeight="1">
      <c r="Q273" s="55"/>
    </row>
    <row r="274" ht="15.75" customHeight="1">
      <c r="Q274" s="55"/>
    </row>
    <row r="275" ht="15.75" customHeight="1">
      <c r="Q275" s="55"/>
    </row>
    <row r="276" ht="15.75" customHeight="1">
      <c r="Q276" s="55"/>
    </row>
    <row r="277" ht="15.75" customHeight="1">
      <c r="Q277" s="55"/>
    </row>
    <row r="278" ht="15.75" customHeight="1">
      <c r="Q278" s="55"/>
    </row>
    <row r="279" ht="15.75" customHeight="1">
      <c r="Q279" s="55"/>
    </row>
    <row r="280" ht="15.75" customHeight="1">
      <c r="Q280" s="55"/>
    </row>
    <row r="281" ht="15.75" customHeight="1">
      <c r="Q281" s="55"/>
    </row>
    <row r="282" ht="15.75" customHeight="1">
      <c r="Q282" s="55"/>
    </row>
    <row r="283" ht="15.75" customHeight="1">
      <c r="Q283" s="55"/>
    </row>
    <row r="284" ht="15.75" customHeight="1">
      <c r="Q284" s="55"/>
    </row>
    <row r="285" ht="15.75" customHeight="1">
      <c r="Q285" s="55"/>
    </row>
    <row r="286" ht="15.75" customHeight="1">
      <c r="Q286" s="55"/>
    </row>
    <row r="287" ht="15.75" customHeight="1">
      <c r="Q287" s="55"/>
    </row>
    <row r="288" ht="15.75" customHeight="1">
      <c r="Q288" s="55"/>
    </row>
    <row r="289" ht="15.75" customHeight="1">
      <c r="Q289" s="55"/>
    </row>
    <row r="290" ht="15.75" customHeight="1">
      <c r="Q290" s="55"/>
    </row>
    <row r="291" ht="15.75" customHeight="1">
      <c r="Q291" s="55"/>
    </row>
    <row r="292" ht="15.75" customHeight="1">
      <c r="Q292" s="55"/>
    </row>
    <row r="293" ht="15.75" customHeight="1">
      <c r="Q293" s="55"/>
    </row>
    <row r="294" ht="15.75" customHeight="1">
      <c r="Q294" s="55"/>
    </row>
    <row r="295" ht="15.75" customHeight="1">
      <c r="Q295" s="55"/>
    </row>
    <row r="296" ht="15.75" customHeight="1">
      <c r="Q296" s="55"/>
    </row>
    <row r="297" ht="15.75" customHeight="1">
      <c r="Q297" s="55"/>
    </row>
    <row r="298" ht="15.75" customHeight="1">
      <c r="Q298" s="55"/>
    </row>
    <row r="299" ht="15.75" customHeight="1">
      <c r="Q299" s="55"/>
    </row>
    <row r="300" ht="15.75" customHeight="1">
      <c r="Q300" s="55"/>
    </row>
    <row r="301" ht="15.75" customHeight="1">
      <c r="Q301" s="55"/>
    </row>
    <row r="302" ht="15.75" customHeight="1">
      <c r="Q302" s="55"/>
    </row>
    <row r="303" ht="15.75" customHeight="1">
      <c r="Q303" s="55"/>
    </row>
    <row r="304" ht="15.75" customHeight="1">
      <c r="Q304" s="55"/>
    </row>
    <row r="305" ht="15.75" customHeight="1">
      <c r="Q305" s="55"/>
    </row>
    <row r="306" ht="15.75" customHeight="1">
      <c r="Q306" s="55"/>
    </row>
    <row r="307" ht="15.75" customHeight="1">
      <c r="Q307" s="55"/>
    </row>
    <row r="308" ht="15.75" customHeight="1">
      <c r="Q308" s="55"/>
    </row>
    <row r="309" ht="15.75" customHeight="1">
      <c r="Q309" s="55"/>
    </row>
    <row r="310" ht="15.75" customHeight="1">
      <c r="Q310" s="55"/>
    </row>
    <row r="311" ht="15.75" customHeight="1">
      <c r="Q311" s="55"/>
    </row>
    <row r="312" ht="15.75" customHeight="1">
      <c r="Q312" s="55"/>
    </row>
    <row r="313" ht="15.75" customHeight="1">
      <c r="Q313" s="55"/>
    </row>
    <row r="314" ht="15.75" customHeight="1">
      <c r="Q314" s="55"/>
    </row>
    <row r="315" ht="15.75" customHeight="1">
      <c r="Q315" s="55"/>
    </row>
    <row r="316" ht="15.75" customHeight="1">
      <c r="Q316" s="55"/>
    </row>
    <row r="317" ht="15.75" customHeight="1">
      <c r="Q317" s="55"/>
    </row>
    <row r="318" ht="15.75" customHeight="1">
      <c r="Q318" s="55"/>
    </row>
    <row r="319" ht="15.75" customHeight="1">
      <c r="Q319" s="55"/>
    </row>
    <row r="320" ht="15.75" customHeight="1">
      <c r="Q320" s="55"/>
    </row>
    <row r="321" ht="15.75" customHeight="1">
      <c r="Q321" s="55"/>
    </row>
    <row r="322" ht="15.75" customHeight="1">
      <c r="Q322" s="55"/>
    </row>
    <row r="323" ht="15.75" customHeight="1">
      <c r="Q323" s="55"/>
    </row>
    <row r="324" ht="15.75" customHeight="1">
      <c r="Q324" s="55"/>
    </row>
    <row r="325" ht="15.75" customHeight="1">
      <c r="Q325" s="55"/>
    </row>
    <row r="326" ht="15.75" customHeight="1">
      <c r="Q326" s="55"/>
    </row>
    <row r="327" ht="15.75" customHeight="1">
      <c r="Q327" s="55"/>
    </row>
    <row r="328" ht="15.75" customHeight="1">
      <c r="Q328" s="55"/>
    </row>
    <row r="329" ht="15.75" customHeight="1">
      <c r="Q329" s="55"/>
    </row>
    <row r="330" ht="15.75" customHeight="1">
      <c r="Q330" s="55"/>
    </row>
    <row r="331" ht="15.75" customHeight="1">
      <c r="Q331" s="55"/>
    </row>
    <row r="332" ht="15.75" customHeight="1">
      <c r="Q332" s="55"/>
    </row>
    <row r="333" ht="15.75" customHeight="1">
      <c r="Q333" s="55"/>
    </row>
    <row r="334" ht="15.75" customHeight="1">
      <c r="Q334" s="55"/>
    </row>
    <row r="335" ht="15.75" customHeight="1">
      <c r="Q335" s="55"/>
    </row>
    <row r="336" ht="15.75" customHeight="1">
      <c r="Q336" s="55"/>
    </row>
    <row r="337" ht="15.75" customHeight="1">
      <c r="Q337" s="55"/>
    </row>
    <row r="338" ht="15.75" customHeight="1">
      <c r="Q338" s="55"/>
    </row>
    <row r="339" ht="15.75" customHeight="1">
      <c r="Q339" s="55"/>
    </row>
    <row r="340" ht="15.75" customHeight="1">
      <c r="Q340" s="55"/>
    </row>
    <row r="341" ht="15.75" customHeight="1">
      <c r="Q341" s="55"/>
    </row>
    <row r="342" ht="15.75" customHeight="1">
      <c r="Q342" s="55"/>
    </row>
    <row r="343" ht="15.75" customHeight="1">
      <c r="Q343" s="55"/>
    </row>
    <row r="344" ht="15.75" customHeight="1">
      <c r="Q344" s="55"/>
    </row>
    <row r="345" ht="15.75" customHeight="1">
      <c r="Q345" s="55"/>
    </row>
    <row r="346" ht="15.75" customHeight="1">
      <c r="Q346" s="55"/>
    </row>
    <row r="347" ht="15.75" customHeight="1">
      <c r="Q347" s="55"/>
    </row>
    <row r="348" ht="15.75" customHeight="1">
      <c r="Q348" s="55"/>
    </row>
    <row r="349" ht="15.75" customHeight="1">
      <c r="Q349" s="55"/>
    </row>
    <row r="350" ht="15.75" customHeight="1">
      <c r="Q350" s="55"/>
    </row>
    <row r="351" ht="15.75" customHeight="1">
      <c r="Q351" s="55"/>
    </row>
    <row r="352" ht="15.75" customHeight="1">
      <c r="Q352" s="55"/>
    </row>
    <row r="353" ht="15.75" customHeight="1">
      <c r="Q353" s="55"/>
    </row>
    <row r="354" ht="15.75" customHeight="1">
      <c r="Q354" s="55"/>
    </row>
    <row r="355" ht="15.75" customHeight="1">
      <c r="Q355" s="55"/>
    </row>
    <row r="356" ht="15.75" customHeight="1">
      <c r="Q356" s="55"/>
    </row>
    <row r="357" ht="15.75" customHeight="1">
      <c r="Q357" s="55"/>
    </row>
    <row r="358" ht="15.75" customHeight="1">
      <c r="Q358" s="55"/>
    </row>
    <row r="359" ht="15.75" customHeight="1">
      <c r="Q359" s="55"/>
    </row>
    <row r="360" ht="15.75" customHeight="1">
      <c r="Q360" s="55"/>
    </row>
    <row r="361" ht="15.75" customHeight="1">
      <c r="Q361" s="55"/>
    </row>
    <row r="362" ht="15.75" customHeight="1">
      <c r="Q362" s="55"/>
    </row>
    <row r="363" ht="15.75" customHeight="1">
      <c r="Q363" s="55"/>
    </row>
    <row r="364" ht="15.75" customHeight="1">
      <c r="Q364" s="55"/>
    </row>
    <row r="365" ht="15.75" customHeight="1">
      <c r="Q365" s="55"/>
    </row>
    <row r="366" ht="15.75" customHeight="1">
      <c r="Q366" s="55"/>
    </row>
    <row r="367" ht="15.75" customHeight="1">
      <c r="Q367" s="55"/>
    </row>
    <row r="368" ht="15.75" customHeight="1">
      <c r="Q368" s="55"/>
    </row>
    <row r="369" ht="15.75" customHeight="1">
      <c r="Q369" s="55"/>
    </row>
    <row r="370" ht="15.75" customHeight="1">
      <c r="Q370" s="55"/>
    </row>
    <row r="371" ht="15.75" customHeight="1">
      <c r="Q371" s="55"/>
    </row>
    <row r="372" ht="15.75" customHeight="1">
      <c r="Q372" s="55"/>
    </row>
    <row r="373" ht="15.75" customHeight="1">
      <c r="Q373" s="55"/>
    </row>
    <row r="374" ht="15.75" customHeight="1">
      <c r="Q374" s="55"/>
    </row>
    <row r="375" ht="15.75" customHeight="1">
      <c r="Q375" s="55"/>
    </row>
    <row r="376" ht="15.75" customHeight="1">
      <c r="Q376" s="55"/>
    </row>
    <row r="377" ht="15.75" customHeight="1">
      <c r="Q377" s="55"/>
    </row>
    <row r="378" ht="15.75" customHeight="1">
      <c r="Q378" s="55"/>
    </row>
    <row r="379" ht="15.75" customHeight="1">
      <c r="Q379" s="55"/>
    </row>
    <row r="380" ht="15.75" customHeight="1">
      <c r="Q380" s="55"/>
    </row>
    <row r="381" ht="15.75" customHeight="1">
      <c r="Q381" s="55"/>
    </row>
    <row r="382" ht="15.75" customHeight="1">
      <c r="Q382" s="55"/>
    </row>
    <row r="383" ht="15.75" customHeight="1">
      <c r="Q383" s="55"/>
    </row>
    <row r="384" ht="15.75" customHeight="1">
      <c r="Q384" s="55"/>
    </row>
    <row r="385" ht="15.75" customHeight="1">
      <c r="Q385" s="55"/>
    </row>
    <row r="386" ht="15.75" customHeight="1">
      <c r="Q386" s="55"/>
    </row>
    <row r="387" ht="15.75" customHeight="1">
      <c r="Q387" s="55"/>
    </row>
    <row r="388" ht="15.75" customHeight="1">
      <c r="Q388" s="55"/>
    </row>
    <row r="389" ht="15.75" customHeight="1">
      <c r="Q389" s="55"/>
    </row>
    <row r="390" ht="15.75" customHeight="1">
      <c r="Q390" s="55"/>
    </row>
    <row r="391" ht="15.75" customHeight="1">
      <c r="Q391" s="55"/>
    </row>
    <row r="392" ht="15.75" customHeight="1">
      <c r="Q392" s="55"/>
    </row>
    <row r="393" ht="15.75" customHeight="1">
      <c r="Q393" s="55"/>
    </row>
    <row r="394" ht="15.75" customHeight="1">
      <c r="Q394" s="55"/>
    </row>
    <row r="395" ht="15.75" customHeight="1">
      <c r="Q395" s="55"/>
    </row>
    <row r="396" ht="15.75" customHeight="1">
      <c r="Q396" s="55"/>
    </row>
    <row r="397" ht="15.75" customHeight="1">
      <c r="Q397" s="55"/>
    </row>
    <row r="398" ht="15.75" customHeight="1">
      <c r="Q398" s="55"/>
    </row>
    <row r="399" ht="15.75" customHeight="1">
      <c r="Q399" s="55"/>
    </row>
    <row r="400" ht="15.75" customHeight="1">
      <c r="Q400" s="55"/>
    </row>
    <row r="401" ht="15.75" customHeight="1">
      <c r="Q401" s="55"/>
    </row>
    <row r="402" ht="15.75" customHeight="1">
      <c r="Q402" s="55"/>
    </row>
    <row r="403" ht="15.75" customHeight="1">
      <c r="Q403" s="55"/>
    </row>
    <row r="404" ht="15.75" customHeight="1">
      <c r="Q404" s="55"/>
    </row>
    <row r="405" ht="15.75" customHeight="1">
      <c r="Q405" s="55"/>
    </row>
    <row r="406" ht="15.75" customHeight="1">
      <c r="Q406" s="55"/>
    </row>
    <row r="407" ht="15.75" customHeight="1">
      <c r="Q407" s="55"/>
    </row>
    <row r="408" ht="15.75" customHeight="1">
      <c r="Q408" s="55"/>
    </row>
    <row r="409" ht="15.75" customHeight="1">
      <c r="Q409" s="55"/>
    </row>
    <row r="410" ht="15.75" customHeight="1">
      <c r="Q410" s="55"/>
    </row>
    <row r="411" ht="15.75" customHeight="1">
      <c r="Q411" s="55"/>
    </row>
    <row r="412" ht="15.75" customHeight="1">
      <c r="Q412" s="55"/>
    </row>
    <row r="413" ht="15.75" customHeight="1">
      <c r="Q413" s="55"/>
    </row>
    <row r="414" ht="15.75" customHeight="1">
      <c r="Q414" s="55"/>
    </row>
    <row r="415" ht="15.75" customHeight="1">
      <c r="Q415" s="55"/>
    </row>
    <row r="416" ht="15.75" customHeight="1">
      <c r="Q416" s="55"/>
    </row>
    <row r="417" ht="15.75" customHeight="1">
      <c r="Q417" s="55"/>
    </row>
    <row r="418" ht="15.75" customHeight="1">
      <c r="Q418" s="55"/>
    </row>
    <row r="419" ht="15.75" customHeight="1">
      <c r="Q419" s="55"/>
    </row>
    <row r="420" ht="15.75" customHeight="1">
      <c r="Q420" s="55"/>
    </row>
    <row r="421" ht="15.75" customHeight="1">
      <c r="Q421" s="55"/>
    </row>
    <row r="422" ht="15.75" customHeight="1">
      <c r="Q422" s="55"/>
    </row>
    <row r="423" ht="15.75" customHeight="1">
      <c r="Q423" s="55"/>
    </row>
    <row r="424" ht="15.75" customHeight="1">
      <c r="Q424" s="55"/>
    </row>
    <row r="425" ht="15.75" customHeight="1">
      <c r="Q425" s="55"/>
    </row>
    <row r="426" ht="15.75" customHeight="1">
      <c r="Q426" s="55"/>
    </row>
    <row r="427" ht="15.75" customHeight="1">
      <c r="Q427" s="55"/>
    </row>
    <row r="428" ht="15.75" customHeight="1">
      <c r="Q428" s="55"/>
    </row>
    <row r="429" ht="15.75" customHeight="1">
      <c r="Q429" s="55"/>
    </row>
    <row r="430" ht="15.75" customHeight="1">
      <c r="Q430" s="55"/>
    </row>
    <row r="431" ht="15.75" customHeight="1">
      <c r="Q431" s="55"/>
    </row>
    <row r="432" ht="15.75" customHeight="1">
      <c r="Q432" s="55"/>
    </row>
    <row r="433" ht="15.75" customHeight="1">
      <c r="Q433" s="55"/>
    </row>
    <row r="434" ht="15.75" customHeight="1">
      <c r="Q434" s="55"/>
    </row>
    <row r="435" ht="15.75" customHeight="1">
      <c r="Q435" s="55"/>
    </row>
    <row r="436" ht="15.75" customHeight="1">
      <c r="Q436" s="55"/>
    </row>
    <row r="437" ht="15.75" customHeight="1">
      <c r="Q437" s="55"/>
    </row>
    <row r="438" ht="15.75" customHeight="1">
      <c r="Q438" s="55"/>
    </row>
    <row r="439" ht="15.75" customHeight="1">
      <c r="Q439" s="55"/>
    </row>
    <row r="440" ht="15.75" customHeight="1">
      <c r="Q440" s="55"/>
    </row>
    <row r="441" ht="15.75" customHeight="1">
      <c r="Q441" s="55"/>
    </row>
    <row r="442" ht="15.75" customHeight="1">
      <c r="Q442" s="55"/>
    </row>
    <row r="443" ht="15.75" customHeight="1">
      <c r="Q443" s="55"/>
    </row>
    <row r="444" ht="15.75" customHeight="1">
      <c r="Q444" s="55"/>
    </row>
    <row r="445" ht="15.75" customHeight="1">
      <c r="Q445" s="55"/>
    </row>
    <row r="446" ht="15.75" customHeight="1">
      <c r="Q446" s="55"/>
    </row>
    <row r="447" ht="15.75" customHeight="1">
      <c r="Q447" s="55"/>
    </row>
    <row r="448" ht="15.75" customHeight="1">
      <c r="Q448" s="55"/>
    </row>
    <row r="449" ht="15.75" customHeight="1">
      <c r="Q449" s="55"/>
    </row>
    <row r="450" ht="15.75" customHeight="1">
      <c r="Q450" s="55"/>
    </row>
    <row r="451" ht="15.75" customHeight="1">
      <c r="Q451" s="55"/>
    </row>
    <row r="452" ht="15.75" customHeight="1">
      <c r="Q452" s="55"/>
    </row>
    <row r="453" ht="15.75" customHeight="1">
      <c r="Q453" s="55"/>
    </row>
    <row r="454" ht="15.75" customHeight="1">
      <c r="Q454" s="55"/>
    </row>
    <row r="455" ht="15.75" customHeight="1">
      <c r="Q455" s="55"/>
    </row>
    <row r="456" ht="15.75" customHeight="1">
      <c r="Q456" s="55"/>
    </row>
    <row r="457" ht="15.75" customHeight="1">
      <c r="Q457" s="55"/>
    </row>
    <row r="458" ht="15.75" customHeight="1">
      <c r="Q458" s="55"/>
    </row>
    <row r="459" ht="15.75" customHeight="1">
      <c r="Q459" s="55"/>
    </row>
    <row r="460" ht="15.75" customHeight="1">
      <c r="Q460" s="55"/>
    </row>
    <row r="461" ht="15.75" customHeight="1">
      <c r="Q461" s="55"/>
    </row>
    <row r="462" ht="15.75" customHeight="1">
      <c r="Q462" s="55"/>
    </row>
    <row r="463" ht="15.75" customHeight="1">
      <c r="Q463" s="55"/>
    </row>
    <row r="464" ht="15.75" customHeight="1">
      <c r="Q464" s="55"/>
    </row>
    <row r="465" ht="15.75" customHeight="1">
      <c r="Q465" s="55"/>
    </row>
    <row r="466" ht="15.75" customHeight="1">
      <c r="Q466" s="55"/>
    </row>
    <row r="467" ht="15.75" customHeight="1">
      <c r="Q467" s="55"/>
    </row>
    <row r="468" ht="15.75" customHeight="1">
      <c r="Q468" s="55"/>
    </row>
    <row r="469" ht="15.75" customHeight="1">
      <c r="Q469" s="55"/>
    </row>
    <row r="470" ht="15.75" customHeight="1">
      <c r="Q470" s="55"/>
    </row>
    <row r="471" ht="15.75" customHeight="1">
      <c r="Q471" s="55"/>
    </row>
    <row r="472" ht="15.75" customHeight="1">
      <c r="Q472" s="55"/>
    </row>
    <row r="473" ht="15.75" customHeight="1">
      <c r="Q473" s="55"/>
    </row>
    <row r="474" ht="15.75" customHeight="1">
      <c r="Q474" s="55"/>
    </row>
    <row r="475" ht="15.75" customHeight="1">
      <c r="Q475" s="55"/>
    </row>
    <row r="476" ht="15.75" customHeight="1">
      <c r="Q476" s="55"/>
    </row>
    <row r="477" ht="15.75" customHeight="1">
      <c r="Q477" s="55"/>
    </row>
    <row r="478" ht="15.75" customHeight="1">
      <c r="Q478" s="55"/>
    </row>
    <row r="479" ht="15.75" customHeight="1">
      <c r="Q479" s="55"/>
    </row>
    <row r="480" ht="15.75" customHeight="1">
      <c r="Q480" s="55"/>
    </row>
    <row r="481" ht="15.75" customHeight="1">
      <c r="Q481" s="55"/>
    </row>
    <row r="482" ht="15.75" customHeight="1">
      <c r="Q482" s="55"/>
    </row>
    <row r="483" ht="15.75" customHeight="1">
      <c r="Q483" s="55"/>
    </row>
    <row r="484" ht="15.75" customHeight="1">
      <c r="Q484" s="55"/>
    </row>
    <row r="485" ht="15.75" customHeight="1">
      <c r="Q485" s="55"/>
    </row>
    <row r="486" ht="15.75" customHeight="1">
      <c r="Q486" s="55"/>
    </row>
    <row r="487" ht="15.75" customHeight="1">
      <c r="Q487" s="55"/>
    </row>
    <row r="488" ht="15.75" customHeight="1">
      <c r="Q488" s="55"/>
    </row>
    <row r="489" ht="15.75" customHeight="1">
      <c r="Q489" s="55"/>
    </row>
    <row r="490" ht="15.75" customHeight="1">
      <c r="Q490" s="55"/>
    </row>
    <row r="491" ht="15.75" customHeight="1">
      <c r="Q491" s="55"/>
    </row>
    <row r="492" ht="15.75" customHeight="1">
      <c r="Q492" s="55"/>
    </row>
    <row r="493" ht="15.75" customHeight="1">
      <c r="Q493" s="55"/>
    </row>
    <row r="494" ht="15.75" customHeight="1">
      <c r="Q494" s="55"/>
    </row>
    <row r="495" ht="15.75" customHeight="1">
      <c r="Q495" s="55"/>
    </row>
    <row r="496" ht="15.75" customHeight="1">
      <c r="Q496" s="55"/>
    </row>
    <row r="497" ht="15.75" customHeight="1">
      <c r="Q497" s="55"/>
    </row>
    <row r="498" ht="15.75" customHeight="1">
      <c r="Q498" s="55"/>
    </row>
    <row r="499" ht="15.75" customHeight="1">
      <c r="Q499" s="55"/>
    </row>
    <row r="500" ht="15.75" customHeight="1">
      <c r="Q500" s="55"/>
    </row>
    <row r="501" ht="15.75" customHeight="1">
      <c r="Q501" s="55"/>
    </row>
    <row r="502" ht="15.75" customHeight="1">
      <c r="Q502" s="55"/>
    </row>
    <row r="503" ht="15.75" customHeight="1">
      <c r="Q503" s="55"/>
    </row>
    <row r="504" ht="15.75" customHeight="1">
      <c r="Q504" s="55"/>
    </row>
    <row r="505" ht="15.75" customHeight="1">
      <c r="Q505" s="55"/>
    </row>
    <row r="506" ht="15.75" customHeight="1">
      <c r="Q506" s="55"/>
    </row>
    <row r="507" ht="15.75" customHeight="1">
      <c r="Q507" s="55"/>
    </row>
    <row r="508" ht="15.75" customHeight="1">
      <c r="Q508" s="55"/>
    </row>
    <row r="509" ht="15.75" customHeight="1">
      <c r="Q509" s="55"/>
    </row>
    <row r="510" ht="15.75" customHeight="1">
      <c r="Q510" s="55"/>
    </row>
    <row r="511" ht="15.75" customHeight="1">
      <c r="Q511" s="55"/>
    </row>
    <row r="512" ht="15.75" customHeight="1">
      <c r="Q512" s="55"/>
    </row>
    <row r="513" ht="15.75" customHeight="1">
      <c r="Q513" s="55"/>
    </row>
    <row r="514" ht="15.75" customHeight="1">
      <c r="Q514" s="55"/>
    </row>
    <row r="515" ht="15.75" customHeight="1">
      <c r="Q515" s="55"/>
    </row>
    <row r="516" ht="15.75" customHeight="1">
      <c r="Q516" s="55"/>
    </row>
    <row r="517" ht="15.75" customHeight="1">
      <c r="Q517" s="55"/>
    </row>
    <row r="518" ht="15.75" customHeight="1">
      <c r="Q518" s="55"/>
    </row>
    <row r="519" ht="15.75" customHeight="1">
      <c r="Q519" s="55"/>
    </row>
    <row r="520" ht="15.75" customHeight="1">
      <c r="Q520" s="55"/>
    </row>
    <row r="521" ht="15.75" customHeight="1">
      <c r="Q521" s="55"/>
    </row>
    <row r="522" ht="15.75" customHeight="1">
      <c r="Q522" s="55"/>
    </row>
    <row r="523" ht="15.75" customHeight="1">
      <c r="Q523" s="55"/>
    </row>
    <row r="524" ht="15.75" customHeight="1">
      <c r="Q524" s="55"/>
    </row>
    <row r="525" ht="15.75" customHeight="1">
      <c r="Q525" s="55"/>
    </row>
    <row r="526" ht="15.75" customHeight="1">
      <c r="Q526" s="55"/>
    </row>
    <row r="527" ht="15.75" customHeight="1">
      <c r="Q527" s="55"/>
    </row>
    <row r="528" ht="15.75" customHeight="1">
      <c r="Q528" s="55"/>
    </row>
    <row r="529" ht="15.75" customHeight="1">
      <c r="Q529" s="55"/>
    </row>
    <row r="530" ht="15.75" customHeight="1">
      <c r="Q530" s="55"/>
    </row>
    <row r="531" ht="15.75" customHeight="1">
      <c r="Q531" s="55"/>
    </row>
    <row r="532" ht="15.75" customHeight="1">
      <c r="Q532" s="55"/>
    </row>
    <row r="533" ht="15.75" customHeight="1">
      <c r="Q533" s="55"/>
    </row>
    <row r="534" ht="15.75" customHeight="1">
      <c r="Q534" s="55"/>
    </row>
    <row r="535" ht="15.75" customHeight="1">
      <c r="Q535" s="55"/>
    </row>
    <row r="536" ht="15.75" customHeight="1">
      <c r="Q536" s="55"/>
    </row>
    <row r="537" ht="15.75" customHeight="1">
      <c r="Q537" s="55"/>
    </row>
    <row r="538" ht="15.75" customHeight="1">
      <c r="Q538" s="55"/>
    </row>
    <row r="539" ht="15.75" customHeight="1">
      <c r="Q539" s="55"/>
    </row>
    <row r="540" ht="15.75" customHeight="1">
      <c r="Q540" s="55"/>
    </row>
    <row r="541" ht="15.75" customHeight="1">
      <c r="Q541" s="55"/>
    </row>
    <row r="542" ht="15.75" customHeight="1">
      <c r="Q542" s="55"/>
    </row>
    <row r="543" ht="15.75" customHeight="1">
      <c r="Q543" s="55"/>
    </row>
    <row r="544" ht="15.75" customHeight="1">
      <c r="Q544" s="55"/>
    </row>
    <row r="545" ht="15.75" customHeight="1">
      <c r="Q545" s="55"/>
    </row>
    <row r="546" ht="15.75" customHeight="1">
      <c r="Q546" s="55"/>
    </row>
    <row r="547" ht="15.75" customHeight="1">
      <c r="Q547" s="55"/>
    </row>
    <row r="548" ht="15.75" customHeight="1">
      <c r="Q548" s="55"/>
    </row>
    <row r="549" ht="15.75" customHeight="1">
      <c r="Q549" s="55"/>
    </row>
    <row r="550" ht="15.75" customHeight="1">
      <c r="Q550" s="55"/>
    </row>
    <row r="551" ht="15.75" customHeight="1">
      <c r="Q551" s="55"/>
    </row>
    <row r="552" ht="15.75" customHeight="1">
      <c r="Q552" s="55"/>
    </row>
    <row r="553" ht="15.75" customHeight="1">
      <c r="Q553" s="55"/>
    </row>
    <row r="554" ht="15.75" customHeight="1">
      <c r="Q554" s="55"/>
    </row>
    <row r="555" ht="15.75" customHeight="1">
      <c r="Q555" s="55"/>
    </row>
    <row r="556" ht="15.75" customHeight="1">
      <c r="Q556" s="55"/>
    </row>
    <row r="557" ht="15.75" customHeight="1">
      <c r="Q557" s="55"/>
    </row>
    <row r="558" ht="15.75" customHeight="1">
      <c r="Q558" s="55"/>
    </row>
    <row r="559" ht="15.75" customHeight="1">
      <c r="Q559" s="55"/>
    </row>
    <row r="560" ht="15.75" customHeight="1">
      <c r="Q560" s="55"/>
    </row>
    <row r="561" ht="15.75" customHeight="1">
      <c r="Q561" s="55"/>
    </row>
    <row r="562" ht="15.75" customHeight="1">
      <c r="Q562" s="55"/>
    </row>
    <row r="563" ht="15.75" customHeight="1">
      <c r="Q563" s="55"/>
    </row>
    <row r="564" ht="15.75" customHeight="1">
      <c r="Q564" s="55"/>
    </row>
    <row r="565" ht="15.75" customHeight="1">
      <c r="Q565" s="55"/>
    </row>
    <row r="566" ht="15.75" customHeight="1">
      <c r="Q566" s="55"/>
    </row>
    <row r="567" ht="15.75" customHeight="1">
      <c r="Q567" s="55"/>
    </row>
    <row r="568" ht="15.75" customHeight="1">
      <c r="Q568" s="55"/>
    </row>
    <row r="569" ht="15.75" customHeight="1">
      <c r="Q569" s="55"/>
    </row>
    <row r="570" ht="15.75" customHeight="1">
      <c r="Q570" s="55"/>
    </row>
    <row r="571" ht="15.75" customHeight="1">
      <c r="Q571" s="55"/>
    </row>
    <row r="572" ht="15.75" customHeight="1">
      <c r="Q572" s="55"/>
    </row>
    <row r="573" ht="15.75" customHeight="1">
      <c r="Q573" s="55"/>
    </row>
    <row r="574" ht="15.75" customHeight="1">
      <c r="Q574" s="55"/>
    </row>
    <row r="575" ht="15.75" customHeight="1">
      <c r="Q575" s="55"/>
    </row>
    <row r="576" ht="15.75" customHeight="1">
      <c r="Q576" s="55"/>
    </row>
    <row r="577" ht="15.75" customHeight="1">
      <c r="Q577" s="55"/>
    </row>
    <row r="578" ht="15.75" customHeight="1">
      <c r="Q578" s="55"/>
    </row>
    <row r="579" ht="15.75" customHeight="1">
      <c r="Q579" s="55"/>
    </row>
    <row r="580" ht="15.75" customHeight="1">
      <c r="Q580" s="55"/>
    </row>
    <row r="581" ht="15.75" customHeight="1">
      <c r="Q581" s="55"/>
    </row>
    <row r="582" ht="15.75" customHeight="1">
      <c r="Q582" s="55"/>
    </row>
    <row r="583" ht="15.75" customHeight="1">
      <c r="Q583" s="55"/>
    </row>
    <row r="584" ht="15.75" customHeight="1">
      <c r="Q584" s="55"/>
    </row>
    <row r="585" ht="15.75" customHeight="1">
      <c r="Q585" s="55"/>
    </row>
    <row r="586" ht="15.75" customHeight="1">
      <c r="Q586" s="55"/>
    </row>
    <row r="587" ht="15.75" customHeight="1">
      <c r="Q587" s="55"/>
    </row>
    <row r="588" ht="15.75" customHeight="1">
      <c r="Q588" s="55"/>
    </row>
    <row r="589" ht="15.75" customHeight="1">
      <c r="Q589" s="55"/>
    </row>
    <row r="590" ht="15.75" customHeight="1">
      <c r="Q590" s="55"/>
    </row>
    <row r="591" ht="15.75" customHeight="1">
      <c r="Q591" s="55"/>
    </row>
    <row r="592" ht="15.75" customHeight="1">
      <c r="Q592" s="55"/>
    </row>
    <row r="593" ht="15.75" customHeight="1">
      <c r="Q593" s="55"/>
    </row>
    <row r="594" ht="15.75" customHeight="1">
      <c r="Q594" s="55"/>
    </row>
    <row r="595" ht="15.75" customHeight="1">
      <c r="Q595" s="55"/>
    </row>
    <row r="596" ht="15.75" customHeight="1">
      <c r="Q596" s="55"/>
    </row>
    <row r="597" ht="15.75" customHeight="1">
      <c r="Q597" s="55"/>
    </row>
    <row r="598" ht="15.75" customHeight="1">
      <c r="Q598" s="55"/>
    </row>
    <row r="599" ht="15.75" customHeight="1">
      <c r="Q599" s="55"/>
    </row>
    <row r="600" ht="15.75" customHeight="1">
      <c r="Q600" s="55"/>
    </row>
    <row r="601" ht="15.75" customHeight="1">
      <c r="Q601" s="55"/>
    </row>
    <row r="602" ht="15.75" customHeight="1">
      <c r="Q602" s="55"/>
    </row>
    <row r="603" ht="15.75" customHeight="1">
      <c r="Q603" s="55"/>
    </row>
    <row r="604" ht="15.75" customHeight="1">
      <c r="Q604" s="55"/>
    </row>
    <row r="605" ht="15.75" customHeight="1">
      <c r="Q605" s="55"/>
    </row>
    <row r="606" ht="15.75" customHeight="1">
      <c r="Q606" s="55"/>
    </row>
    <row r="607" ht="15.75" customHeight="1">
      <c r="Q607" s="55"/>
    </row>
    <row r="608" ht="15.75" customHeight="1">
      <c r="Q608" s="55"/>
    </row>
    <row r="609" ht="15.75" customHeight="1">
      <c r="Q609" s="55"/>
    </row>
    <row r="610" ht="15.75" customHeight="1">
      <c r="Q610" s="55"/>
    </row>
    <row r="611" ht="15.75" customHeight="1">
      <c r="Q611" s="55"/>
    </row>
    <row r="612" ht="15.75" customHeight="1">
      <c r="Q612" s="55"/>
    </row>
    <row r="613" ht="15.75" customHeight="1">
      <c r="Q613" s="55"/>
    </row>
    <row r="614" ht="15.75" customHeight="1">
      <c r="Q614" s="55"/>
    </row>
    <row r="615" ht="15.75" customHeight="1">
      <c r="Q615" s="55"/>
    </row>
    <row r="616" ht="15.75" customHeight="1">
      <c r="Q616" s="55"/>
    </row>
    <row r="617" ht="15.75" customHeight="1">
      <c r="Q617" s="55"/>
    </row>
    <row r="618" ht="15.75" customHeight="1">
      <c r="Q618" s="55"/>
    </row>
    <row r="619" ht="15.75" customHeight="1">
      <c r="Q619" s="55"/>
    </row>
    <row r="620" ht="15.75" customHeight="1">
      <c r="Q620" s="55"/>
    </row>
    <row r="621" ht="15.75" customHeight="1">
      <c r="Q621" s="55"/>
    </row>
    <row r="622" ht="15.75" customHeight="1">
      <c r="Q622" s="55"/>
    </row>
    <row r="623" ht="15.75" customHeight="1">
      <c r="Q623" s="55"/>
    </row>
    <row r="624" ht="15.75" customHeight="1">
      <c r="Q624" s="55"/>
    </row>
    <row r="625" ht="15.75" customHeight="1">
      <c r="Q625" s="55"/>
    </row>
    <row r="626" ht="15.75" customHeight="1">
      <c r="Q626" s="55"/>
    </row>
    <row r="627" ht="15.75" customHeight="1">
      <c r="Q627" s="55"/>
    </row>
    <row r="628" ht="15.75" customHeight="1">
      <c r="Q628" s="55"/>
    </row>
    <row r="629" ht="15.75" customHeight="1">
      <c r="Q629" s="55"/>
    </row>
    <row r="630" ht="15.75" customHeight="1">
      <c r="Q630" s="55"/>
    </row>
    <row r="631" ht="15.75" customHeight="1">
      <c r="Q631" s="55"/>
    </row>
    <row r="632" ht="15.75" customHeight="1">
      <c r="Q632" s="55"/>
    </row>
    <row r="633" ht="15.75" customHeight="1">
      <c r="Q633" s="55"/>
    </row>
    <row r="634" ht="15.75" customHeight="1">
      <c r="Q634" s="55"/>
    </row>
    <row r="635" ht="15.75" customHeight="1">
      <c r="Q635" s="55"/>
    </row>
    <row r="636" ht="15.75" customHeight="1">
      <c r="Q636" s="55"/>
    </row>
    <row r="637" ht="15.75" customHeight="1">
      <c r="Q637" s="55"/>
    </row>
    <row r="638" ht="15.75" customHeight="1">
      <c r="Q638" s="55"/>
    </row>
    <row r="639" ht="15.75" customHeight="1">
      <c r="Q639" s="55"/>
    </row>
    <row r="640" ht="15.75" customHeight="1">
      <c r="Q640" s="55"/>
    </row>
    <row r="641" ht="15.75" customHeight="1">
      <c r="Q641" s="55"/>
    </row>
    <row r="642" ht="15.75" customHeight="1">
      <c r="Q642" s="55"/>
    </row>
    <row r="643" ht="15.75" customHeight="1">
      <c r="Q643" s="55"/>
    </row>
    <row r="644" ht="15.75" customHeight="1">
      <c r="Q644" s="55"/>
    </row>
    <row r="645" ht="15.75" customHeight="1">
      <c r="Q645" s="55"/>
    </row>
    <row r="646" ht="15.75" customHeight="1">
      <c r="Q646" s="55"/>
    </row>
    <row r="647" ht="15.75" customHeight="1">
      <c r="Q647" s="55"/>
    </row>
    <row r="648" ht="15.75" customHeight="1">
      <c r="Q648" s="55"/>
    </row>
    <row r="649" ht="15.75" customHeight="1">
      <c r="Q649" s="55"/>
    </row>
    <row r="650" ht="15.75" customHeight="1">
      <c r="Q650" s="55"/>
    </row>
    <row r="651" ht="15.75" customHeight="1">
      <c r="Q651" s="55"/>
    </row>
    <row r="652" ht="15.75" customHeight="1">
      <c r="Q652" s="55"/>
    </row>
    <row r="653" ht="15.75" customHeight="1">
      <c r="Q653" s="55"/>
    </row>
    <row r="654" ht="15.75" customHeight="1">
      <c r="Q654" s="55"/>
    </row>
    <row r="655" ht="15.75" customHeight="1">
      <c r="Q655" s="55"/>
    </row>
    <row r="656" ht="15.75" customHeight="1">
      <c r="Q656" s="55"/>
    </row>
    <row r="657" ht="15.75" customHeight="1">
      <c r="Q657" s="55"/>
    </row>
    <row r="658" ht="15.75" customHeight="1">
      <c r="Q658" s="55"/>
    </row>
    <row r="659" ht="15.75" customHeight="1">
      <c r="Q659" s="55"/>
    </row>
    <row r="660" ht="15.75" customHeight="1">
      <c r="Q660" s="55"/>
    </row>
    <row r="661" ht="15.75" customHeight="1">
      <c r="Q661" s="55"/>
    </row>
    <row r="662" ht="15.75" customHeight="1">
      <c r="Q662" s="55"/>
    </row>
    <row r="663" ht="15.75" customHeight="1">
      <c r="Q663" s="55"/>
    </row>
    <row r="664" ht="15.75" customHeight="1">
      <c r="Q664" s="55"/>
    </row>
    <row r="665" ht="15.75" customHeight="1">
      <c r="Q665" s="55"/>
    </row>
    <row r="666" ht="15.75" customHeight="1">
      <c r="Q666" s="55"/>
    </row>
    <row r="667" ht="15.75" customHeight="1">
      <c r="Q667" s="55"/>
    </row>
    <row r="668" ht="15.75" customHeight="1">
      <c r="Q668" s="55"/>
    </row>
    <row r="669" ht="15.75" customHeight="1">
      <c r="Q669" s="55"/>
    </row>
    <row r="670" ht="15.75" customHeight="1">
      <c r="Q670" s="55"/>
    </row>
    <row r="671" ht="15.75" customHeight="1">
      <c r="Q671" s="55"/>
    </row>
    <row r="672" ht="15.75" customHeight="1">
      <c r="Q672" s="55"/>
    </row>
    <row r="673" ht="15.75" customHeight="1">
      <c r="Q673" s="55"/>
    </row>
    <row r="674" ht="15.75" customHeight="1">
      <c r="Q674" s="55"/>
    </row>
    <row r="675" ht="15.75" customHeight="1">
      <c r="Q675" s="55"/>
    </row>
    <row r="676" ht="15.75" customHeight="1">
      <c r="Q676" s="55"/>
    </row>
    <row r="677" ht="15.75" customHeight="1">
      <c r="Q677" s="55"/>
    </row>
    <row r="678" ht="15.75" customHeight="1">
      <c r="Q678" s="55"/>
    </row>
    <row r="679" ht="15.75" customHeight="1">
      <c r="Q679" s="55"/>
    </row>
    <row r="680" ht="15.75" customHeight="1">
      <c r="Q680" s="55"/>
    </row>
    <row r="681" ht="15.75" customHeight="1">
      <c r="Q681" s="55"/>
    </row>
    <row r="682" ht="15.75" customHeight="1">
      <c r="Q682" s="55"/>
    </row>
    <row r="683" ht="15.75" customHeight="1">
      <c r="Q683" s="55"/>
    </row>
    <row r="684" ht="15.75" customHeight="1">
      <c r="Q684" s="55"/>
    </row>
    <row r="685" ht="15.75" customHeight="1">
      <c r="Q685" s="55"/>
    </row>
    <row r="686" ht="15.75" customHeight="1">
      <c r="Q686" s="55"/>
    </row>
    <row r="687" ht="15.75" customHeight="1">
      <c r="Q687" s="55"/>
    </row>
    <row r="688" ht="15.75" customHeight="1">
      <c r="Q688" s="55"/>
    </row>
    <row r="689" ht="15.75" customHeight="1">
      <c r="Q689" s="55"/>
    </row>
    <row r="690" ht="15.75" customHeight="1">
      <c r="Q690" s="55"/>
    </row>
    <row r="691" ht="15.75" customHeight="1">
      <c r="Q691" s="55"/>
    </row>
    <row r="692" ht="15.75" customHeight="1">
      <c r="Q692" s="55"/>
    </row>
    <row r="693" ht="15.75" customHeight="1">
      <c r="Q693" s="55"/>
    </row>
    <row r="694" ht="15.75" customHeight="1">
      <c r="Q694" s="55"/>
    </row>
    <row r="695" ht="15.75" customHeight="1">
      <c r="Q695" s="55"/>
    </row>
    <row r="696" ht="15.75" customHeight="1">
      <c r="Q696" s="55"/>
    </row>
    <row r="697" ht="15.75" customHeight="1">
      <c r="Q697" s="55"/>
    </row>
    <row r="698" ht="15.75" customHeight="1">
      <c r="Q698" s="55"/>
    </row>
    <row r="699" ht="15.75" customHeight="1">
      <c r="Q699" s="55"/>
    </row>
    <row r="700" ht="15.75" customHeight="1">
      <c r="Q700" s="55"/>
    </row>
    <row r="701" ht="15.75" customHeight="1">
      <c r="Q701" s="55"/>
    </row>
    <row r="702" ht="15.75" customHeight="1">
      <c r="Q702" s="55"/>
    </row>
    <row r="703" ht="15.75" customHeight="1">
      <c r="Q703" s="55"/>
    </row>
    <row r="704" ht="15.75" customHeight="1">
      <c r="Q704" s="55"/>
    </row>
    <row r="705" ht="15.75" customHeight="1">
      <c r="Q705" s="55"/>
    </row>
    <row r="706" ht="15.75" customHeight="1">
      <c r="Q706" s="55"/>
    </row>
    <row r="707" ht="15.75" customHeight="1">
      <c r="Q707" s="55"/>
    </row>
    <row r="708" ht="15.75" customHeight="1">
      <c r="Q708" s="55"/>
    </row>
    <row r="709" ht="15.75" customHeight="1">
      <c r="Q709" s="55"/>
    </row>
    <row r="710" ht="15.75" customHeight="1">
      <c r="Q710" s="55"/>
    </row>
    <row r="711" ht="15.75" customHeight="1">
      <c r="Q711" s="55"/>
    </row>
    <row r="712" ht="15.75" customHeight="1">
      <c r="Q712" s="55"/>
    </row>
    <row r="713" ht="15.75" customHeight="1">
      <c r="Q713" s="55"/>
    </row>
    <row r="714" ht="15.75" customHeight="1">
      <c r="Q714" s="55"/>
    </row>
    <row r="715" ht="15.75" customHeight="1">
      <c r="Q715" s="55"/>
    </row>
    <row r="716" ht="15.75" customHeight="1">
      <c r="Q716" s="55"/>
    </row>
    <row r="717" ht="15.75" customHeight="1">
      <c r="Q717" s="55"/>
    </row>
    <row r="718" ht="15.75" customHeight="1">
      <c r="Q718" s="55"/>
    </row>
    <row r="719" ht="15.75" customHeight="1">
      <c r="Q719" s="55"/>
    </row>
    <row r="720" ht="15.75" customHeight="1">
      <c r="Q720" s="55"/>
    </row>
    <row r="721" ht="15.75" customHeight="1">
      <c r="Q721" s="55"/>
    </row>
    <row r="722" ht="15.75" customHeight="1">
      <c r="Q722" s="55"/>
    </row>
    <row r="723" ht="15.75" customHeight="1">
      <c r="Q723" s="55"/>
    </row>
    <row r="724" ht="15.75" customHeight="1">
      <c r="Q724" s="55"/>
    </row>
    <row r="725" ht="15.75" customHeight="1">
      <c r="Q725" s="55"/>
    </row>
    <row r="726" ht="15.75" customHeight="1">
      <c r="Q726" s="55"/>
    </row>
    <row r="727" ht="15.75" customHeight="1">
      <c r="Q727" s="55"/>
    </row>
    <row r="728" ht="15.75" customHeight="1">
      <c r="Q728" s="55"/>
    </row>
    <row r="729" ht="15.75" customHeight="1">
      <c r="Q729" s="55"/>
    </row>
    <row r="730" ht="15.75" customHeight="1">
      <c r="Q730" s="55"/>
    </row>
    <row r="731" ht="15.75" customHeight="1">
      <c r="Q731" s="55"/>
    </row>
    <row r="732" ht="15.75" customHeight="1">
      <c r="Q732" s="55"/>
    </row>
    <row r="733" ht="15.75" customHeight="1">
      <c r="Q733" s="55"/>
    </row>
    <row r="734" ht="15.75" customHeight="1">
      <c r="Q734" s="55"/>
    </row>
    <row r="735" ht="15.75" customHeight="1">
      <c r="Q735" s="55"/>
    </row>
    <row r="736" ht="15.75" customHeight="1">
      <c r="Q736" s="55"/>
    </row>
    <row r="737" ht="15.75" customHeight="1">
      <c r="Q737" s="55"/>
    </row>
    <row r="738" ht="15.75" customHeight="1">
      <c r="Q738" s="55"/>
    </row>
    <row r="739" ht="15.75" customHeight="1">
      <c r="Q739" s="55"/>
    </row>
    <row r="740" ht="15.75" customHeight="1">
      <c r="Q740" s="55"/>
    </row>
    <row r="741" ht="15.75" customHeight="1">
      <c r="Q741" s="55"/>
    </row>
    <row r="742" ht="15.75" customHeight="1">
      <c r="Q742" s="55"/>
    </row>
    <row r="743" ht="15.75" customHeight="1">
      <c r="Q743" s="55"/>
    </row>
    <row r="744" ht="15.75" customHeight="1">
      <c r="Q744" s="55"/>
    </row>
    <row r="745" ht="15.75" customHeight="1">
      <c r="Q745" s="55"/>
    </row>
    <row r="746" ht="15.75" customHeight="1">
      <c r="Q746" s="55"/>
    </row>
    <row r="747" ht="15.75" customHeight="1">
      <c r="Q747" s="55"/>
    </row>
    <row r="748" ht="15.75" customHeight="1">
      <c r="Q748" s="55"/>
    </row>
    <row r="749" ht="15.75" customHeight="1">
      <c r="Q749" s="55"/>
    </row>
    <row r="750" ht="15.75" customHeight="1">
      <c r="Q750" s="55"/>
    </row>
    <row r="751" ht="15.75" customHeight="1">
      <c r="Q751" s="55"/>
    </row>
    <row r="752" ht="15.75" customHeight="1">
      <c r="Q752" s="55"/>
    </row>
    <row r="753" ht="15.75" customHeight="1">
      <c r="Q753" s="55"/>
    </row>
    <row r="754" ht="15.75" customHeight="1">
      <c r="Q754" s="55"/>
    </row>
    <row r="755" ht="15.75" customHeight="1">
      <c r="Q755" s="55"/>
    </row>
    <row r="756" ht="15.75" customHeight="1">
      <c r="Q756" s="55"/>
    </row>
    <row r="757" ht="15.75" customHeight="1">
      <c r="Q757" s="55"/>
    </row>
    <row r="758" ht="15.75" customHeight="1">
      <c r="Q758" s="55"/>
    </row>
    <row r="759" ht="15.75" customHeight="1">
      <c r="Q759" s="55"/>
    </row>
    <row r="760" ht="15.75" customHeight="1">
      <c r="Q760" s="55"/>
    </row>
    <row r="761" ht="15.75" customHeight="1">
      <c r="Q761" s="55"/>
    </row>
    <row r="762" ht="15.75" customHeight="1">
      <c r="Q762" s="55"/>
    </row>
    <row r="763" ht="15.75" customHeight="1">
      <c r="Q763" s="55"/>
    </row>
    <row r="764" ht="15.75" customHeight="1">
      <c r="Q764" s="55"/>
    </row>
    <row r="765" ht="15.75" customHeight="1">
      <c r="Q765" s="55"/>
    </row>
    <row r="766" ht="15.75" customHeight="1">
      <c r="Q766" s="55"/>
    </row>
    <row r="767" ht="15.75" customHeight="1">
      <c r="Q767" s="55"/>
    </row>
    <row r="768" ht="15.75" customHeight="1">
      <c r="Q768" s="55"/>
    </row>
    <row r="769" ht="15.75" customHeight="1">
      <c r="Q769" s="55"/>
    </row>
    <row r="770" ht="15.75" customHeight="1">
      <c r="Q770" s="55"/>
    </row>
    <row r="771" ht="15.75" customHeight="1">
      <c r="Q771" s="55"/>
    </row>
    <row r="772" ht="15.75" customHeight="1">
      <c r="Q772" s="55"/>
    </row>
    <row r="773" ht="15.75" customHeight="1">
      <c r="Q773" s="55"/>
    </row>
    <row r="774" ht="15.75" customHeight="1">
      <c r="Q774" s="55"/>
    </row>
    <row r="775" ht="15.75" customHeight="1">
      <c r="Q775" s="55"/>
    </row>
    <row r="776" ht="15.75" customHeight="1">
      <c r="Q776" s="55"/>
    </row>
    <row r="777" ht="15.75" customHeight="1">
      <c r="Q777" s="55"/>
    </row>
    <row r="778" ht="15.75" customHeight="1">
      <c r="Q778" s="55"/>
    </row>
    <row r="779" ht="15.75" customHeight="1">
      <c r="Q779" s="55"/>
    </row>
    <row r="780" ht="15.75" customHeight="1">
      <c r="Q780" s="55"/>
    </row>
    <row r="781" ht="15.75" customHeight="1">
      <c r="Q781" s="55"/>
    </row>
    <row r="782" ht="15.75" customHeight="1">
      <c r="Q782" s="55"/>
    </row>
    <row r="783" ht="15.75" customHeight="1">
      <c r="Q783" s="55"/>
    </row>
    <row r="784" ht="15.75" customHeight="1">
      <c r="Q784" s="55"/>
    </row>
    <row r="785" ht="15.75" customHeight="1">
      <c r="Q785" s="55"/>
    </row>
    <row r="786" ht="15.75" customHeight="1">
      <c r="Q786" s="55"/>
    </row>
    <row r="787" ht="15.75" customHeight="1">
      <c r="Q787" s="55"/>
    </row>
    <row r="788" ht="15.75" customHeight="1">
      <c r="Q788" s="55"/>
    </row>
    <row r="789" ht="15.75" customHeight="1">
      <c r="Q789" s="55"/>
    </row>
    <row r="790" ht="15.75" customHeight="1">
      <c r="Q790" s="55"/>
    </row>
    <row r="791" ht="15.75" customHeight="1">
      <c r="Q791" s="55"/>
    </row>
    <row r="792" ht="15.75" customHeight="1">
      <c r="Q792" s="55"/>
    </row>
    <row r="793" ht="15.75" customHeight="1">
      <c r="Q793" s="55"/>
    </row>
    <row r="794" ht="15.75" customHeight="1">
      <c r="Q794" s="55"/>
    </row>
    <row r="795" ht="15.75" customHeight="1">
      <c r="Q795" s="55"/>
    </row>
    <row r="796" ht="15.75" customHeight="1">
      <c r="Q796" s="55"/>
    </row>
    <row r="797" ht="15.75" customHeight="1">
      <c r="Q797" s="55"/>
    </row>
    <row r="798" ht="15.75" customHeight="1">
      <c r="Q798" s="55"/>
    </row>
    <row r="799" ht="15.75" customHeight="1">
      <c r="Q799" s="55"/>
    </row>
    <row r="800" ht="15.75" customHeight="1">
      <c r="Q800" s="55"/>
    </row>
    <row r="801" ht="15.75" customHeight="1">
      <c r="Q801" s="55"/>
    </row>
    <row r="802" ht="15.75" customHeight="1">
      <c r="Q802" s="55"/>
    </row>
    <row r="803" ht="15.75" customHeight="1">
      <c r="Q803" s="55"/>
    </row>
    <row r="804" ht="15.75" customHeight="1">
      <c r="Q804" s="55"/>
    </row>
    <row r="805" ht="15.75" customHeight="1">
      <c r="Q805" s="55"/>
    </row>
    <row r="806" ht="15.75" customHeight="1">
      <c r="Q806" s="55"/>
    </row>
    <row r="807" ht="15.75" customHeight="1">
      <c r="Q807" s="55"/>
    </row>
    <row r="808" ht="15.75" customHeight="1">
      <c r="Q808" s="55"/>
    </row>
    <row r="809" ht="15.75" customHeight="1">
      <c r="Q809" s="55"/>
    </row>
    <row r="810" ht="15.75" customHeight="1">
      <c r="Q810" s="55"/>
    </row>
    <row r="811" ht="15.75" customHeight="1">
      <c r="Q811" s="55"/>
    </row>
    <row r="812" ht="15.75" customHeight="1">
      <c r="Q812" s="55"/>
    </row>
    <row r="813" ht="15.75" customHeight="1">
      <c r="Q813" s="55"/>
    </row>
    <row r="814" ht="15.75" customHeight="1">
      <c r="Q814" s="55"/>
    </row>
    <row r="815" ht="15.75" customHeight="1">
      <c r="Q815" s="55"/>
    </row>
    <row r="816" ht="15.75" customHeight="1">
      <c r="Q816" s="55"/>
    </row>
    <row r="817" ht="15.75" customHeight="1">
      <c r="Q817" s="55"/>
    </row>
    <row r="818" ht="15.75" customHeight="1">
      <c r="Q818" s="55"/>
    </row>
    <row r="819" ht="15.75" customHeight="1">
      <c r="Q819" s="55"/>
    </row>
    <row r="820" ht="15.75" customHeight="1">
      <c r="Q820" s="55"/>
    </row>
    <row r="821" ht="15.75" customHeight="1">
      <c r="Q821" s="55"/>
    </row>
    <row r="822" ht="15.75" customHeight="1">
      <c r="Q822" s="55"/>
    </row>
    <row r="823" ht="15.75" customHeight="1">
      <c r="Q823" s="55"/>
    </row>
    <row r="824" ht="15.75" customHeight="1">
      <c r="Q824" s="55"/>
    </row>
    <row r="825" ht="15.75" customHeight="1">
      <c r="Q825" s="55"/>
    </row>
    <row r="826" ht="15.75" customHeight="1">
      <c r="Q826" s="55"/>
    </row>
    <row r="827" ht="15.75" customHeight="1">
      <c r="Q827" s="55"/>
    </row>
    <row r="828" ht="15.75" customHeight="1">
      <c r="Q828" s="55"/>
    </row>
    <row r="829" ht="15.75" customHeight="1">
      <c r="Q829" s="55"/>
    </row>
    <row r="830" ht="15.75" customHeight="1">
      <c r="Q830" s="55"/>
    </row>
    <row r="831" ht="15.75" customHeight="1">
      <c r="Q831" s="55"/>
    </row>
    <row r="832" ht="15.75" customHeight="1">
      <c r="Q832" s="55"/>
    </row>
    <row r="833" ht="15.75" customHeight="1">
      <c r="Q833" s="55"/>
    </row>
    <row r="834" ht="15.75" customHeight="1">
      <c r="Q834" s="55"/>
    </row>
    <row r="835" ht="15.75" customHeight="1">
      <c r="Q835" s="55"/>
    </row>
    <row r="836" ht="15.75" customHeight="1">
      <c r="Q836" s="55"/>
    </row>
    <row r="837" ht="15.75" customHeight="1">
      <c r="Q837" s="55"/>
    </row>
    <row r="838" ht="15.75" customHeight="1">
      <c r="Q838" s="55"/>
    </row>
    <row r="839" ht="15.75" customHeight="1">
      <c r="Q839" s="55"/>
    </row>
    <row r="840" ht="15.75" customHeight="1">
      <c r="Q840" s="55"/>
    </row>
    <row r="841" ht="15.75" customHeight="1">
      <c r="Q841" s="55"/>
    </row>
    <row r="842" ht="15.75" customHeight="1">
      <c r="Q842" s="55"/>
    </row>
    <row r="843" ht="15.75" customHeight="1">
      <c r="Q843" s="55"/>
    </row>
    <row r="844" ht="15.75" customHeight="1">
      <c r="Q844" s="55"/>
    </row>
    <row r="845" ht="15.75" customHeight="1">
      <c r="Q845" s="55"/>
    </row>
    <row r="846" ht="15.75" customHeight="1">
      <c r="Q846" s="55"/>
    </row>
    <row r="847" ht="15.75" customHeight="1">
      <c r="Q847" s="55"/>
    </row>
    <row r="848" ht="15.75" customHeight="1">
      <c r="Q848" s="55"/>
    </row>
    <row r="849" ht="15.75" customHeight="1">
      <c r="Q849" s="55"/>
    </row>
    <row r="850" ht="15.75" customHeight="1">
      <c r="Q850" s="55"/>
    </row>
    <row r="851" ht="15.75" customHeight="1">
      <c r="Q851" s="55"/>
    </row>
    <row r="852" ht="15.75" customHeight="1">
      <c r="Q852" s="55"/>
    </row>
    <row r="853" ht="15.75" customHeight="1">
      <c r="Q853" s="55"/>
    </row>
    <row r="854" ht="15.75" customHeight="1">
      <c r="Q854" s="55"/>
    </row>
    <row r="855" ht="15.75" customHeight="1">
      <c r="Q855" s="55"/>
    </row>
    <row r="856" ht="15.75" customHeight="1">
      <c r="Q856" s="55"/>
    </row>
    <row r="857" ht="15.75" customHeight="1">
      <c r="Q857" s="55"/>
    </row>
    <row r="858" ht="15.75" customHeight="1">
      <c r="Q858" s="55"/>
    </row>
    <row r="859" ht="15.75" customHeight="1">
      <c r="Q859" s="55"/>
    </row>
    <row r="860" ht="15.75" customHeight="1">
      <c r="Q860" s="55"/>
    </row>
    <row r="861" ht="15.75" customHeight="1">
      <c r="Q861" s="55"/>
    </row>
    <row r="862" ht="15.75" customHeight="1">
      <c r="Q862" s="55"/>
    </row>
    <row r="863" ht="15.75" customHeight="1">
      <c r="Q863" s="55"/>
    </row>
    <row r="864" ht="15.75" customHeight="1">
      <c r="Q864" s="55"/>
    </row>
    <row r="865" ht="15.75" customHeight="1">
      <c r="Q865" s="55"/>
    </row>
    <row r="866" ht="15.75" customHeight="1">
      <c r="Q866" s="55"/>
    </row>
    <row r="867" ht="15.75" customHeight="1">
      <c r="Q867" s="55"/>
    </row>
    <row r="868" ht="15.75" customHeight="1">
      <c r="Q868" s="55"/>
    </row>
    <row r="869" ht="15.75" customHeight="1">
      <c r="Q869" s="55"/>
    </row>
    <row r="870" ht="15.75" customHeight="1">
      <c r="Q870" s="55"/>
    </row>
    <row r="871" ht="15.75" customHeight="1">
      <c r="Q871" s="55"/>
    </row>
    <row r="872" ht="15.75" customHeight="1">
      <c r="Q872" s="55"/>
    </row>
    <row r="873" ht="15.75" customHeight="1">
      <c r="Q873" s="55"/>
    </row>
    <row r="874" ht="15.75" customHeight="1">
      <c r="Q874" s="55"/>
    </row>
    <row r="875" ht="15.75" customHeight="1">
      <c r="Q875" s="55"/>
    </row>
    <row r="876" ht="15.75" customHeight="1">
      <c r="Q876" s="55"/>
    </row>
    <row r="877" ht="15.75" customHeight="1">
      <c r="Q877" s="55"/>
    </row>
    <row r="878" ht="15.75" customHeight="1">
      <c r="Q878" s="55"/>
    </row>
    <row r="879" ht="15.75" customHeight="1">
      <c r="Q879" s="55"/>
    </row>
    <row r="880" ht="15.75" customHeight="1">
      <c r="Q880" s="55"/>
    </row>
    <row r="881" ht="15.75" customHeight="1">
      <c r="Q881" s="55"/>
    </row>
    <row r="882" ht="15.75" customHeight="1">
      <c r="Q882" s="55"/>
    </row>
    <row r="883" ht="15.75" customHeight="1">
      <c r="Q883" s="55"/>
    </row>
    <row r="884" ht="15.75" customHeight="1">
      <c r="Q884" s="55"/>
    </row>
    <row r="885" ht="15.75" customHeight="1">
      <c r="Q885" s="55"/>
    </row>
    <row r="886" ht="15.75" customHeight="1">
      <c r="Q886" s="55"/>
    </row>
    <row r="887" ht="15.75" customHeight="1">
      <c r="Q887" s="55"/>
    </row>
    <row r="888" ht="15.75" customHeight="1">
      <c r="Q888" s="55"/>
    </row>
    <row r="889" ht="15.75" customHeight="1">
      <c r="Q889" s="55"/>
    </row>
    <row r="890" ht="15.75" customHeight="1">
      <c r="Q890" s="55"/>
    </row>
    <row r="891" ht="15.75" customHeight="1">
      <c r="Q891" s="55"/>
    </row>
    <row r="892" ht="15.75" customHeight="1">
      <c r="Q892" s="55"/>
    </row>
    <row r="893" ht="15.75" customHeight="1">
      <c r="Q893" s="55"/>
    </row>
    <row r="894" ht="15.75" customHeight="1">
      <c r="Q894" s="55"/>
    </row>
    <row r="895" ht="15.75" customHeight="1">
      <c r="Q895" s="55"/>
    </row>
    <row r="896" ht="15.75" customHeight="1">
      <c r="Q896" s="55"/>
    </row>
    <row r="897" ht="15.75" customHeight="1">
      <c r="Q897" s="55"/>
    </row>
    <row r="898" ht="15.75" customHeight="1">
      <c r="Q898" s="55"/>
    </row>
    <row r="899" ht="15.75" customHeight="1">
      <c r="Q899" s="55"/>
    </row>
    <row r="900" ht="15.75" customHeight="1">
      <c r="Q900" s="55"/>
    </row>
    <row r="901" ht="15.75" customHeight="1">
      <c r="Q901" s="55"/>
    </row>
    <row r="902" ht="15.75" customHeight="1">
      <c r="Q902" s="55"/>
    </row>
    <row r="903" ht="15.75" customHeight="1">
      <c r="Q903" s="55"/>
    </row>
    <row r="904" ht="15.75" customHeight="1">
      <c r="Q904" s="55"/>
    </row>
    <row r="905" ht="15.75" customHeight="1">
      <c r="Q905" s="55"/>
    </row>
    <row r="906" ht="15.75" customHeight="1">
      <c r="Q906" s="55"/>
    </row>
    <row r="907" ht="15.75" customHeight="1">
      <c r="Q907" s="55"/>
    </row>
    <row r="908" ht="15.75" customHeight="1">
      <c r="Q908" s="55"/>
    </row>
    <row r="909" ht="15.75" customHeight="1">
      <c r="Q909" s="55"/>
    </row>
    <row r="910" ht="15.75" customHeight="1">
      <c r="Q910" s="55"/>
    </row>
    <row r="911" ht="15.75" customHeight="1">
      <c r="Q911" s="55"/>
    </row>
    <row r="912" ht="15.75" customHeight="1">
      <c r="Q912" s="55"/>
    </row>
    <row r="913" ht="15.75" customHeight="1">
      <c r="Q913" s="55"/>
    </row>
    <row r="914" ht="15.75" customHeight="1">
      <c r="Q914" s="55"/>
    </row>
    <row r="915" ht="15.75" customHeight="1">
      <c r="Q915" s="55"/>
    </row>
    <row r="916" ht="15.75" customHeight="1">
      <c r="Q916" s="55"/>
    </row>
    <row r="917" ht="15.75" customHeight="1">
      <c r="Q917" s="55"/>
    </row>
    <row r="918" ht="15.75" customHeight="1">
      <c r="Q918" s="55"/>
    </row>
    <row r="919" ht="15.75" customHeight="1">
      <c r="Q919" s="55"/>
    </row>
    <row r="920" ht="15.75" customHeight="1">
      <c r="Q920" s="55"/>
    </row>
    <row r="921" ht="15.75" customHeight="1">
      <c r="Q921" s="55"/>
    </row>
    <row r="922" ht="15.75" customHeight="1">
      <c r="Q922" s="55"/>
    </row>
    <row r="923" ht="15.75" customHeight="1">
      <c r="Q923" s="55"/>
    </row>
    <row r="924" ht="15.75" customHeight="1">
      <c r="Q924" s="55"/>
    </row>
    <row r="925" ht="15.75" customHeight="1">
      <c r="Q925" s="55"/>
    </row>
    <row r="926" ht="15.75" customHeight="1">
      <c r="Q926" s="55"/>
    </row>
    <row r="927" ht="15.75" customHeight="1">
      <c r="Q927" s="55"/>
    </row>
    <row r="928" ht="15.75" customHeight="1">
      <c r="Q928" s="55"/>
    </row>
    <row r="929" ht="15.75" customHeight="1">
      <c r="Q929" s="55"/>
    </row>
    <row r="930" ht="15.75" customHeight="1">
      <c r="Q930" s="55"/>
    </row>
    <row r="931" ht="15.75" customHeight="1">
      <c r="Q931" s="55"/>
    </row>
    <row r="932" ht="15.75" customHeight="1">
      <c r="Q932" s="55"/>
    </row>
    <row r="933" ht="15.75" customHeight="1">
      <c r="Q933" s="55"/>
    </row>
    <row r="934" ht="15.75" customHeight="1">
      <c r="Q934" s="55"/>
    </row>
    <row r="935" ht="15.75" customHeight="1">
      <c r="Q935" s="55"/>
    </row>
    <row r="936" ht="15.75" customHeight="1">
      <c r="Q936" s="55"/>
    </row>
    <row r="937" ht="15.75" customHeight="1">
      <c r="Q937" s="55"/>
    </row>
    <row r="938" ht="15.75" customHeight="1">
      <c r="Q938" s="55"/>
    </row>
    <row r="939" ht="15.75" customHeight="1">
      <c r="Q939" s="55"/>
    </row>
    <row r="940" ht="15.75" customHeight="1">
      <c r="Q940" s="55"/>
    </row>
    <row r="941" ht="15.75" customHeight="1">
      <c r="Q941" s="55"/>
    </row>
    <row r="942" ht="15.75" customHeight="1">
      <c r="Q942" s="55"/>
    </row>
    <row r="943" ht="15.75" customHeight="1">
      <c r="Q943" s="55"/>
    </row>
    <row r="944" ht="15.75" customHeight="1">
      <c r="Q944" s="55"/>
    </row>
    <row r="945" ht="15.75" customHeight="1">
      <c r="Q945" s="55"/>
    </row>
    <row r="946" ht="15.75" customHeight="1">
      <c r="Q946" s="55"/>
    </row>
    <row r="947" ht="15.75" customHeight="1">
      <c r="Q947" s="55"/>
    </row>
    <row r="948" ht="15.75" customHeight="1">
      <c r="Q948" s="55"/>
    </row>
    <row r="949" ht="15.75" customHeight="1">
      <c r="Q949" s="55"/>
    </row>
    <row r="950" ht="15.75" customHeight="1">
      <c r="Q950" s="55"/>
    </row>
    <row r="951" ht="15.75" customHeight="1">
      <c r="Q951" s="55"/>
    </row>
    <row r="952" ht="15.75" customHeight="1">
      <c r="Q952" s="55"/>
    </row>
    <row r="953" ht="15.75" customHeight="1">
      <c r="Q953" s="55"/>
    </row>
    <row r="954" ht="15.75" customHeight="1">
      <c r="Q954" s="55"/>
    </row>
    <row r="955" ht="15.75" customHeight="1">
      <c r="Q955" s="55"/>
    </row>
    <row r="956" ht="15.75" customHeight="1">
      <c r="Q956" s="55"/>
    </row>
    <row r="957" ht="15.75" customHeight="1">
      <c r="Q957" s="55"/>
    </row>
    <row r="958" ht="15.75" customHeight="1">
      <c r="Q958" s="55"/>
    </row>
    <row r="959" ht="15.75" customHeight="1">
      <c r="Q959" s="55"/>
    </row>
    <row r="960" ht="15.75" customHeight="1">
      <c r="Q960" s="55"/>
    </row>
    <row r="961" ht="15.75" customHeight="1">
      <c r="Q961" s="55"/>
    </row>
    <row r="962" ht="15.75" customHeight="1">
      <c r="Q962" s="55"/>
    </row>
    <row r="963" ht="15.75" customHeight="1">
      <c r="Q963" s="55"/>
    </row>
    <row r="964" ht="15.75" customHeight="1">
      <c r="Q964" s="55"/>
    </row>
    <row r="965" ht="15.75" customHeight="1">
      <c r="Q965" s="55"/>
    </row>
    <row r="966" ht="15.75" customHeight="1">
      <c r="Q966" s="55"/>
    </row>
    <row r="967" ht="15.75" customHeight="1">
      <c r="Q967" s="55"/>
    </row>
    <row r="968" ht="15.75" customHeight="1">
      <c r="Q968" s="55"/>
    </row>
    <row r="969" ht="15.75" customHeight="1">
      <c r="Q969" s="55"/>
    </row>
    <row r="970" ht="15.75" customHeight="1">
      <c r="Q970" s="55"/>
    </row>
    <row r="971" ht="15.75" customHeight="1">
      <c r="Q971" s="55"/>
    </row>
    <row r="972" ht="15.75" customHeight="1">
      <c r="Q972" s="55"/>
    </row>
    <row r="973" ht="15.75" customHeight="1">
      <c r="Q973" s="55"/>
    </row>
    <row r="974" ht="15.75" customHeight="1">
      <c r="Q974" s="55"/>
    </row>
    <row r="975" ht="15.75" customHeight="1">
      <c r="Q975" s="55"/>
    </row>
    <row r="976" ht="15.75" customHeight="1">
      <c r="Q976" s="55"/>
    </row>
    <row r="977" ht="15.75" customHeight="1">
      <c r="Q977" s="55"/>
    </row>
    <row r="978" ht="15.75" customHeight="1">
      <c r="Q978" s="55"/>
    </row>
    <row r="979" ht="15.75" customHeight="1">
      <c r="Q979" s="55"/>
    </row>
    <row r="980" ht="15.75" customHeight="1">
      <c r="Q980" s="55"/>
    </row>
    <row r="981" ht="15.75" customHeight="1">
      <c r="Q981" s="55"/>
    </row>
    <row r="982" ht="15.75" customHeight="1">
      <c r="Q982" s="55"/>
    </row>
    <row r="983" ht="15.75" customHeight="1">
      <c r="Q983" s="55"/>
    </row>
    <row r="984" ht="15.75" customHeight="1">
      <c r="Q984" s="55"/>
    </row>
    <row r="985" ht="15.75" customHeight="1">
      <c r="Q985" s="55"/>
    </row>
    <row r="986" ht="15.75" customHeight="1">
      <c r="Q986" s="55"/>
    </row>
    <row r="987" ht="15.75" customHeight="1">
      <c r="Q987" s="55"/>
    </row>
    <row r="988" ht="15.75" customHeight="1">
      <c r="Q988" s="55"/>
    </row>
    <row r="989" ht="15.75" customHeight="1">
      <c r="Q989" s="55"/>
    </row>
    <row r="990" ht="15.75" customHeight="1">
      <c r="Q990" s="55"/>
    </row>
    <row r="991" ht="15.75" customHeight="1">
      <c r="Q991" s="55"/>
    </row>
    <row r="992" ht="15.75" customHeight="1">
      <c r="Q992" s="55"/>
    </row>
    <row r="993" ht="15.75" customHeight="1">
      <c r="Q993" s="55"/>
    </row>
    <row r="994" ht="15.75" customHeight="1">
      <c r="Q994" s="55"/>
    </row>
    <row r="995" ht="15.75" customHeight="1">
      <c r="Q995" s="55"/>
    </row>
    <row r="996" ht="15.75" customHeight="1">
      <c r="Q996" s="55"/>
    </row>
    <row r="997" ht="15.75" customHeight="1">
      <c r="Q997" s="55"/>
    </row>
    <row r="998" ht="15.75" customHeight="1">
      <c r="Q998" s="55"/>
    </row>
    <row r="999" ht="15.75" customHeight="1">
      <c r="Q999" s="55"/>
    </row>
    <row r="1000" ht="15.75" customHeight="1">
      <c r="Q1000" s="55"/>
    </row>
  </sheetData>
  <autoFilter ref="$A$1:$AD$51"/>
  <printOptions/>
  <pageMargins bottom="1.0" footer="0.0" header="0.0" left="0.75" right="0.75" top="1.0"/>
  <pageSetup orientation="landscape"/>
  <drawing r:id="rId1"/>
</worksheet>
</file>