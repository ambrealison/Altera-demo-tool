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Pasta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Milk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Potato flakes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Pasta dishes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Canned pulses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vegetables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Crisps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Grocery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Dairy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Ready meals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Snacks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Barilla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Lactel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D'aucy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Lay's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Garden Gourmet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Mutti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Seeberger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Oatly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Taifun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Paysan Breton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Coca-Cola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Heineken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Lesieur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Lotus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Pringles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3017620422003</t>
        </is>
      </c>
      <c r="B8" s="54" t="inlineStr">
        <is>
          <t>Nutella hazelnut spread, 400 g</t>
        </is>
      </c>
      <c r="C8" s="54" t="inlineStr">
        <is>
          <t>Nutella</t>
        </is>
      </c>
      <c r="D8" s="54" t="inlineStr">
        <is>
          <t>Spreads</t>
        </is>
      </c>
      <c r="E8" s="54" t="inlineStr">
        <is>
          <t>FG7</t>
        </is>
      </c>
      <c r="F8" s="59">
        <f>Data!O12</f>
        <v/>
      </c>
      <c r="G8" s="28">
        <f>Data!Q12</f>
        <v/>
      </c>
      <c r="H8" s="60">
        <f>Data!L12</f>
        <v/>
      </c>
      <c r="I8" s="61">
        <f>Data!S12/1000</f>
        <v/>
      </c>
      <c r="J8" s="61">
        <f>Data!T12/1000</f>
        <v/>
      </c>
      <c r="K8" s="32">
        <f>IF(I8+J8=0,"",I8/(I8+J8))</f>
        <v/>
      </c>
    </row>
    <row r="9" s="67">
      <c r="A9" s="54" t="inlineStr">
        <is>
          <t>8710100426588</t>
        </is>
      </c>
      <c r="B9" s="54" t="inlineStr">
        <is>
          <t>Rolled oats, 800 g</t>
        </is>
      </c>
      <c r="C9" s="54" t="inlineStr">
        <is>
          <t>Quaker</t>
        </is>
      </c>
      <c r="D9" s="54" t="inlineStr">
        <is>
          <t>Cereals</t>
        </is>
      </c>
      <c r="E9" s="54" t="inlineStr">
        <is>
          <t>FG5</t>
        </is>
      </c>
      <c r="F9" s="59">
        <f>Data!O28</f>
        <v/>
      </c>
      <c r="G9" s="28">
        <f>Data!Q28</f>
        <v/>
      </c>
      <c r="H9" s="60">
        <f>Data!L28</f>
        <v/>
      </c>
      <c r="I9" s="61">
        <f>Data!S28/1000</f>
        <v/>
      </c>
      <c r="J9" s="61">
        <f>Data!T28/1000</f>
        <v/>
      </c>
      <c r="K9" s="32">
        <f>IF(I9+J9=0,"",I9/(I9+J9))</f>
        <v/>
      </c>
    </row>
    <row r="10" s="67">
      <c r="A10" s="54" t="inlineStr">
        <is>
          <t>7613034223852</t>
        </is>
      </c>
      <c r="B10" s="54" t="inlineStr">
        <is>
          <t>Fraîch'Up four-cheese pizza, 600 g</t>
        </is>
      </c>
      <c r="C10" s="54" t="inlineStr">
        <is>
          <t>Buitoni</t>
        </is>
      </c>
      <c r="D10" s="54" t="inlineStr">
        <is>
          <t>Pizzas</t>
        </is>
      </c>
      <c r="E10" s="54" t="inlineStr">
        <is>
          <t>not applicable</t>
        </is>
      </c>
      <c r="F10" s="59">
        <f>Data!O20</f>
        <v/>
      </c>
      <c r="G10" s="28">
        <f>Data!Q20</f>
        <v/>
      </c>
      <c r="H10" s="60">
        <f>Data!L20</f>
        <v/>
      </c>
      <c r="I10" s="61">
        <f>Data!S20/1000</f>
        <v/>
      </c>
      <c r="J10" s="61">
        <f>Data!T20/1000</f>
        <v/>
      </c>
      <c r="K10" s="32">
        <f>IF(I10+J10=0,"",I10/(I10+J10))</f>
        <v/>
      </c>
    </row>
    <row r="11" s="67">
      <c r="A11" s="54" t="inlineStr">
        <is>
          <t>5411188079996</t>
        </is>
      </c>
      <c r="B11" s="54" t="inlineStr">
        <is>
          <t>Soy drink, no sugars, 1 L</t>
        </is>
      </c>
      <c r="C11" s="54" t="inlineStr">
        <is>
          <t>Alpro</t>
        </is>
      </c>
      <c r="D11" s="54" t="inlineStr">
        <is>
          <t>Plant drinks</t>
        </is>
      </c>
      <c r="E11" s="54" t="inlineStr">
        <is>
          <t>FG2</t>
        </is>
      </c>
      <c r="F11" s="59">
        <f>Data!O22</f>
        <v/>
      </c>
      <c r="G11" s="28">
        <f>Data!Q22</f>
        <v/>
      </c>
      <c r="H11" s="60">
        <f>Data!L22</f>
        <v/>
      </c>
      <c r="I11" s="61">
        <f>Data!S22/1000</f>
        <v/>
      </c>
      <c r="J11" s="61">
        <f>Data!T22/1000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3168930167983</t>
        </is>
      </c>
      <c r="B15" s="54" t="inlineStr">
        <is>
          <t>Ready salted crisps, 155 g</t>
        </is>
      </c>
      <c r="C15" s="54" t="inlineStr">
        <is>
          <t>Lay's</t>
        </is>
      </c>
      <c r="D15" s="54" t="inlineStr">
        <is>
          <t>Crisps</t>
        </is>
      </c>
      <c r="E15" s="54" t="inlineStr">
        <is>
          <t>FG7</t>
        </is>
      </c>
      <c r="F15" s="59">
        <f>Data!O16</f>
        <v/>
      </c>
      <c r="G15" s="28">
        <f>Data!Q16</f>
        <v/>
      </c>
      <c r="H15" s="60">
        <f>Data!L16</f>
        <v/>
      </c>
      <c r="I15" s="61">
        <f>Data!S16/1000</f>
        <v/>
      </c>
      <c r="J15" s="61">
        <f>Data!T16/1000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3166352968591</t>
        </is>
      </c>
      <c r="B30" s="54" t="inlineStr">
        <is>
          <t>Beef lasagne bolognese, 300 g</t>
        </is>
      </c>
      <c r="C30" s="54" t="inlineStr">
        <is>
          <t>Marie</t>
        </is>
      </c>
      <c r="D30" s="54" t="inlineStr">
        <is>
          <t>Pasta dishes</t>
        </is>
      </c>
      <c r="E30" s="54" t="inlineStr">
        <is>
          <t>not applicable</t>
        </is>
      </c>
      <c r="F30" s="59">
        <f>Data!O24</f>
        <v/>
      </c>
      <c r="G30" s="28">
        <f>Data!Q24</f>
        <v/>
      </c>
      <c r="H30" s="60">
        <f>Data!L24</f>
        <v/>
      </c>
      <c r="I30" s="61">
        <f>Data!S24/1000</f>
        <v/>
      </c>
      <c r="J30" s="61">
        <f>Data!T24/1000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65</v>
      </c>
      <c r="M4" s="64" t="n">
        <v>65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retailer · implausible (per-pack figure), kept as declared: to confirm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6.3</v>
      </c>
      <c r="N12" s="64" t="n">
        <v>0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Potatoes (66%), vegetable oils (sunflower, rapeseed, maize in varying proportions), salt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/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2026-10-20T09:45:57Z</dcterms:created>
  <dcterms:modified xmlns:dcterms="http://purl.org/dc/terms/" xmlns:xsi="http://www.w3.org/2001/XMLSchema-instance" xsi:type="dcterms:W3CDTF">2026-10-20T09:45:57Z</dcterms:modified>
</cp:coreProperties>
</file>