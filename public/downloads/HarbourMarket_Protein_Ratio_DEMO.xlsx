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WWF" sheetId="2" state="visible" r:id="rId2"/>
    <sheet xmlns:r="http://schemas.openxmlformats.org/officeDocument/2006/relationships" name="Protein Tracker" sheetId="3" state="visible" r:id="rId3"/>
    <sheet xmlns:r="http://schemas.openxmlformats.org/officeDocument/2006/relationships" name="By department" sheetId="4" state="visible" r:id="rId4"/>
    <sheet xmlns:r="http://schemas.openxmlformats.org/officeDocument/2006/relationships" name="Scope" sheetId="5" state="visible" r:id="rId5"/>
    <sheet xmlns:r="http://schemas.openxmlformats.org/officeDocument/2006/relationships" name="Corrections" sheetId="6" state="visible" r:id="rId6"/>
    <sheet xmlns:r="http://schemas.openxmlformats.org/officeDocument/2006/relationships" name="Checks" sheetId="7" state="visible" r:id="rId7"/>
    <sheet xmlns:r="http://schemas.openxmlformats.org/officeDocument/2006/relationships" name="Data" sheetId="8" state="visible" r:id="rId8"/>
  </sheets>
  <definedNames>
    <definedName name="_xlnm._FilterDatabase" localSheetId="7" hidden="1">'Data'!$A$5:$AF$35</definedName>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0"/>
    <numFmt numFmtId="167" formatCode="&quot;OK&quot;;;&quot;FAILED&quot;"/>
    <numFmt numFmtId="168" formatCode="0.000"/>
    <numFmt numFmtId="169" formatCode="0.0"/>
  </numFmts>
  <fonts count="16">
    <font>
      <name val="Calibri"/>
      <family val="2"/>
      <color theme="1"/>
      <sz val="11"/>
      <scheme val="minor"/>
    </font>
    <font>
      <name val="Arial"/>
      <b val="1"/>
      <color rgb="001F3864"/>
      <sz val="16"/>
    </font>
    <font>
      <name val="Arial"/>
      <i val="1"/>
      <color rgb="007F7F7F"/>
      <sz val="9"/>
    </font>
    <font>
      <name val="Arial"/>
      <color rgb="00404040"/>
      <sz val="10"/>
    </font>
    <font>
      <name val="Arial"/>
      <b val="1"/>
      <color rgb="00FFFFFF"/>
      <sz val="11"/>
    </font>
    <font>
      <name val="Arial"/>
      <b val="1"/>
      <sz val="10"/>
    </font>
    <font>
      <name val="Arial"/>
      <sz val="10"/>
    </font>
    <font>
      <name val="Arial"/>
      <b val="1"/>
      <color rgb="00375623"/>
      <sz val="12"/>
    </font>
    <font>
      <name val="Arial"/>
      <b val="1"/>
      <color rgb="00375623"/>
      <sz val="24"/>
    </font>
    <font>
      <name val="Arial"/>
      <b val="1"/>
      <color rgb="00375623"/>
      <sz val="10"/>
    </font>
    <font>
      <name val="Arial"/>
      <b val="1"/>
      <color rgb="00375623"/>
      <sz val="11"/>
    </font>
    <font>
      <name val="Arial"/>
      <b val="1"/>
      <color rgb="001F3864"/>
      <sz val="18"/>
    </font>
    <font>
      <name val="Arial"/>
      <b val="1"/>
      <color rgb="00C00000"/>
      <sz val="10"/>
    </font>
    <font>
      <name val="Arial"/>
      <b val="1"/>
      <color rgb="00375623"/>
      <sz val="16"/>
    </font>
    <font>
      <name val="Arial"/>
      <b val="1"/>
      <color rgb="001F3864"/>
      <sz val="11"/>
    </font>
    <font>
      <name val="Arial"/>
      <b val="1"/>
      <color rgb="001F3864"/>
      <sz val="10"/>
      <u val="single"/>
    </font>
  </fonts>
  <fills count="7">
    <fill>
      <patternFill/>
    </fill>
    <fill>
      <patternFill patternType="gray125"/>
    </fill>
    <fill>
      <patternFill patternType="solid">
        <fgColor rgb="00375623"/>
      </patternFill>
    </fill>
    <fill>
      <patternFill patternType="solid">
        <fgColor rgb="00F2F2F2"/>
      </patternFill>
    </fill>
    <fill>
      <patternFill patternType="solid">
        <fgColor rgb="001F3864"/>
      </patternFill>
    </fill>
    <fill>
      <patternFill patternType="solid">
        <fgColor rgb="00FFF2CC"/>
      </patternFill>
    </fill>
    <fill>
      <patternFill patternType="solid">
        <fgColor rgb="00F7F7F7"/>
      </patternFill>
    </fill>
  </fills>
  <borders count="3">
    <border>
      <left/>
      <right/>
      <top/>
      <bottom/>
      <diagonal/>
    </border>
    <border>
      <bottom style="medium">
        <color rgb="001F3864"/>
      </bottom>
    </border>
    <border>
      <bottom style="thin">
        <color rgb="00BF8F00"/>
      </bottom>
    </border>
  </borders>
  <cellStyleXfs count="1">
    <xf numFmtId="0" fontId="0" fillId="0" borderId="0"/>
  </cellStyleXfs>
  <cellXfs count="50">
    <xf numFmtId="0" fontId="0" fillId="0" borderId="0" pivotButton="0" quotePrefix="0" xfId="0"/>
    <xf numFmtId="0" fontId="11" fillId="0" borderId="0" applyAlignment="1" pivotButton="0" quotePrefix="0" xfId="0">
      <alignment vertical="center" wrapText="1"/>
    </xf>
    <xf numFmtId="0" fontId="12" fillId="0" borderId="0" applyAlignment="1" pivotButton="0" quotePrefix="0" xfId="0">
      <alignment vertical="center" wrapText="1"/>
    </xf>
    <xf numFmtId="0" fontId="4" fillId="2" borderId="0" applyAlignment="1" pivotButton="0" quotePrefix="0" xfId="0">
      <alignment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5" fillId="0" borderId="0" applyAlignment="1" pivotButton="0" quotePrefix="0" xfId="0">
      <alignment vertical="center"/>
    </xf>
    <xf numFmtId="0" fontId="6" fillId="0" borderId="0" applyAlignment="1" pivotButton="0" quotePrefix="0" xfId="0">
      <alignment vertical="center" wrapText="1"/>
    </xf>
    <xf numFmtId="165" fontId="13" fillId="0" borderId="0" applyAlignment="1" pivotButton="0" quotePrefix="0" xfId="0">
      <alignment horizontal="center" vertical="center"/>
    </xf>
    <xf numFmtId="9" fontId="6" fillId="0" borderId="0" applyAlignment="1" pivotButton="0" quotePrefix="0" xfId="0">
      <alignment horizontal="center" vertical="center"/>
    </xf>
    <xf numFmtId="0" fontId="3" fillId="0" borderId="0" applyAlignment="1" pivotButton="0" quotePrefix="0" xfId="0">
      <alignment vertical="center"/>
    </xf>
    <xf numFmtId="0" fontId="14" fillId="0" borderId="0" applyAlignment="1" pivotButton="0" quotePrefix="0" xfId="0">
      <alignment vertical="top" wrapText="1"/>
    </xf>
    <xf numFmtId="0" fontId="6" fillId="0" borderId="0" applyAlignment="1" pivotButton="0" quotePrefix="0" xfId="0">
      <alignment vertical="top" wrapText="1"/>
    </xf>
    <xf numFmtId="0" fontId="14" fillId="0" borderId="0" pivotButton="0" quotePrefix="0" xfId="0"/>
    <xf numFmtId="0" fontId="15" fillId="0" borderId="0" pivotButton="0" quotePrefix="0" xfId="0"/>
    <xf numFmtId="0" fontId="6"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164" fontId="6" fillId="0" borderId="0" pivotButton="0" quotePrefix="0" xfId="0"/>
    <xf numFmtId="165" fontId="6" fillId="0" borderId="0" pivotButton="0" quotePrefix="0" xfId="0"/>
    <xf numFmtId="9" fontId="0" fillId="0" borderId="0" pivotButton="0" quotePrefix="0" xfId="0"/>
    <xf numFmtId="0" fontId="5" fillId="0" borderId="0" pivotButton="0" quotePrefix="0" xfId="0"/>
    <xf numFmtId="164" fontId="5" fillId="0" borderId="0" pivotButton="0" quotePrefix="0" xfId="0"/>
    <xf numFmtId="165" fontId="7" fillId="0" borderId="0" pivotButton="0" quotePrefix="0" xfId="0"/>
    <xf numFmtId="0" fontId="4" fillId="4" borderId="0" applyAlignment="1" pivotButton="0" quotePrefix="0" xfId="0">
      <alignment vertical="center"/>
    </xf>
    <xf numFmtId="4" fontId="6" fillId="0" borderId="0" pivotButton="0" quotePrefix="0" xfId="0"/>
    <xf numFmtId="4" fontId="5" fillId="0" borderId="0" pivotButton="0" quotePrefix="0" xfId="0"/>
    <xf numFmtId="165" fontId="5" fillId="0" borderId="0" pivotButton="0" quotePrefix="0" xfId="0"/>
    <xf numFmtId="165" fontId="8" fillId="0" borderId="0" pivotButton="0" quotePrefix="0" xfId="0"/>
    <xf numFmtId="3" fontId="6" fillId="0" borderId="0" pivotButton="0" quotePrefix="0" xfId="0"/>
    <xf numFmtId="3" fontId="5" fillId="0" borderId="0" pivotButton="0" quotePrefix="0" xfId="0"/>
    <xf numFmtId="0" fontId="6" fillId="0" borderId="0" applyAlignment="1" pivotButton="0" quotePrefix="0" xfId="0">
      <alignment horizontal="center"/>
    </xf>
    <xf numFmtId="0" fontId="6" fillId="0" borderId="0" applyAlignment="1" pivotButton="0" quotePrefix="0" xfId="0">
      <alignment vertical="top"/>
    </xf>
    <xf numFmtId="49" fontId="6" fillId="0" borderId="0" applyAlignment="1" pivotButton="0" quotePrefix="0" xfId="0">
      <alignment vertical="top"/>
    </xf>
    <xf numFmtId="49" fontId="5" fillId="0" borderId="0" applyAlignment="1" pivotButton="0" quotePrefix="0" xfId="0">
      <alignment vertical="top"/>
    </xf>
    <xf numFmtId="0" fontId="9" fillId="0" borderId="0" applyAlignment="1" pivotButton="0" quotePrefix="0" xfId="0">
      <alignment vertical="top"/>
    </xf>
    <xf numFmtId="166" fontId="6" fillId="0" borderId="0" pivotButton="0" quotePrefix="0" xfId="0"/>
    <xf numFmtId="167" fontId="9" fillId="0" borderId="0" pivotButton="0" quotePrefix="0" xfId="0"/>
    <xf numFmtId="167" fontId="10" fillId="0" borderId="0" pivotButton="0" quotePrefix="0" xfId="0"/>
    <xf numFmtId="0" fontId="3" fillId="0" borderId="0" pivotButton="0" quotePrefix="0" xfId="0"/>
    <xf numFmtId="49" fontId="6" fillId="0" borderId="0" pivotButton="0" quotePrefix="0" xfId="0"/>
    <xf numFmtId="2" fontId="6" fillId="0" borderId="0" pivotButton="0" quotePrefix="0" xfId="0"/>
    <xf numFmtId="3" fontId="6" fillId="5" borderId="2" pivotButton="0" quotePrefix="0" xfId="0"/>
    <xf numFmtId="168" fontId="6" fillId="0" borderId="0" pivotButton="0" quotePrefix="0" xfId="0"/>
    <xf numFmtId="169" fontId="6" fillId="0" borderId="0" pivotButton="0" quotePrefix="0" xfId="0"/>
    <xf numFmtId="9" fontId="6" fillId="0" borderId="0" pivotButton="0" quotePrefix="0" xfId="0"/>
    <xf numFmtId="1" fontId="6" fillId="0" borderId="0" pivotButton="0" quotePrefix="0" xfId="0"/>
    <xf numFmtId="164" fontId="6" fillId="6" borderId="0" pivotButton="0" quotePrefix="0" xfId="0"/>
    <xf numFmtId="4" fontId="6"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Plant and animal, by food group</a:t>
            </a:r>
          </a:p>
        </rich>
      </tx>
    </title>
    <plotArea>
      <barChart>
        <barDir val="bar"/>
        <grouping val="percentStacked"/>
        <ser>
          <idx val="0"/>
          <order val="0"/>
          <tx>
            <v>Plant (t)</v>
          </tx>
          <spPr>
            <a:solidFill xmlns:a="http://schemas.openxmlformats.org/drawingml/2006/main">
              <a:srgbClr val="375623"/>
            </a:solidFill>
            <a:ln xmlns:a="http://schemas.openxmlformats.org/drawingml/2006/main">
              <a:solidFill>
                <a:srgbClr val="375623"/>
              </a:solidFill>
              <a:prstDash val="solid"/>
            </a:ln>
          </spPr>
          <cat>
            <numRef>
              <f>'WWF'!$A$7:$A$13</f>
            </numRef>
          </cat>
          <val>
            <numRef>
              <f>'WWF'!$B$7:$B$13</f>
            </numRef>
          </val>
        </ser>
        <ser>
          <idx val="1"/>
          <order val="1"/>
          <tx>
            <v>Animal (t)</v>
          </tx>
          <spPr>
            <a:solidFill xmlns:a="http://schemas.openxmlformats.org/drawingml/2006/main">
              <a:srgbClr val="C55A11"/>
            </a:solidFill>
            <a:ln xmlns:a="http://schemas.openxmlformats.org/drawingml/2006/main">
              <a:solidFill>
                <a:srgbClr val="C55A11"/>
              </a:solidFill>
              <a:prstDash val="solid"/>
            </a:ln>
          </spPr>
          <cat>
            <numRef>
              <f>'WWF'!$A$7:$A$13</f>
            </numRef>
          </cat>
          <val>
            <numRef>
              <f>'WWF'!$C$7:$C$13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Protein by class (t)</a:t>
            </a:r>
          </a:p>
        </rich>
      </tx>
    </title>
    <plotArea>
      <barChart>
        <barDir val="bar"/>
        <grouping val="stacked"/>
        <ser>
          <idx val="0"/>
          <order val="0"/>
          <tx>
            <v>Plant (t)</v>
          </tx>
          <spPr>
            <a:solidFill xmlns:a="http://schemas.openxmlformats.org/drawingml/2006/main">
              <a:srgbClr val="375623"/>
            </a:solidFill>
            <a:ln xmlns:a="http://schemas.openxmlformats.org/drawingml/2006/main">
              <a:solidFill>
                <a:srgbClr val="375623"/>
              </a:solidFill>
              <a:prstDash val="solid"/>
            </a:ln>
          </spPr>
          <cat>
            <numRef>
              <f>'Protein Tracker'!$A$7:$A$10</f>
            </numRef>
          </cat>
          <val>
            <numRef>
              <f>'Protein Tracker'!$C$7:$C$10</f>
            </numRef>
          </val>
        </ser>
        <ser>
          <idx val="1"/>
          <order val="1"/>
          <tx>
            <v>Animal (t)</v>
          </tx>
          <spPr>
            <a:solidFill xmlns:a="http://schemas.openxmlformats.org/drawingml/2006/main">
              <a:srgbClr val="C55A11"/>
            </a:solidFill>
            <a:ln xmlns:a="http://schemas.openxmlformats.org/drawingml/2006/main">
              <a:solidFill>
                <a:srgbClr val="C55A11"/>
              </a:solidFill>
              <a:prstDash val="solid"/>
            </a:ln>
          </spPr>
          <cat>
            <numRef>
              <f>'Protein Tracker'!$A$7:$A$10</f>
            </numRef>
          </cat>
          <val>
            <numRef>
              <f>'Protein Tracker'!$D$7:$D$10</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s>
</file>

<file path=xl/drawings/_rels/drawing3.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0</row>
      <rowOff>0</rowOff>
    </from>
    <ext cx="1581150" cy="638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0</row>
      <rowOff>0</rowOff>
    </from>
    <ext cx="800100" cy="638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7</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7</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E28"/>
  <sheetViews>
    <sheetView showGridLines="0" workbookViewId="0">
      <selection activeCell="A1" sqref="A1"/>
    </sheetView>
  </sheetViews>
  <sheetFormatPr baseColWidth="8" defaultRowHeight="15"/>
  <cols>
    <col width="26" customWidth="1" min="1" max="1"/>
    <col width="22" customWidth="1" min="2" max="2"/>
    <col width="22" customWidth="1" min="3" max="3"/>
    <col width="22" customWidth="1" min="4" max="4"/>
    <col width="22" customWidth="1" min="5" max="5"/>
    <col width="4" customWidth="1" min="6" max="6"/>
  </cols>
  <sheetData>
    <row r="1" ht="30" customHeight="1">
      <c r="C1" s="1" t="inlineStr">
        <is>
          <t>PROTEIN RATIO
Harbour Market catalogue · demo</t>
        </is>
      </c>
    </row>
    <row r="2" ht="30" customHeight="1"/>
    <row r="3" ht="28" customHeight="1">
      <c r="A3" s="2" t="inlineStr">
        <is>
          <t>DEMO · Harbour Market, its departments and its volumes are fictitious. The products and their nutrition values are real, from Open Food Facts (ODbL).</t>
        </is>
      </c>
    </row>
    <row r="5" ht="25.5" customHeight="1">
      <c r="A5" s="3" t="inlineStr">
        <is>
          <t xml:space="preserve">  THE RATIOS · WWF first, then Protein Tracker</t>
        </is>
      </c>
    </row>
    <row r="6" ht="30" customHeight="1">
      <c r="A6" s="4" t="inlineStr">
        <is>
          <t>Method</t>
        </is>
      </c>
      <c r="B6" s="5" t="inlineStr">
        <is>
          <t>Ratio</t>
        </is>
      </c>
      <c r="C6" s="5" t="inlineStr">
        <is>
          <t>Value</t>
        </is>
      </c>
      <c r="D6" s="5" t="inlineStr">
        <is>
          <t>Planetary Health Diet</t>
        </is>
      </c>
      <c r="E6" s="5" t="inlineStr">
        <is>
          <t>Unit</t>
        </is>
      </c>
    </row>
    <row r="7" ht="30" customHeight="1">
      <c r="A7" s="6" t="inlineStr">
        <is>
          <t>WWF</t>
        </is>
      </c>
      <c r="B7" s="7" t="inlineStr">
        <is>
          <t>Plant share of protein-rich foods (FG1)</t>
        </is>
      </c>
      <c r="C7" s="8">
        <f>WWF!E18</f>
        <v/>
      </c>
      <c r="D7" s="9" t="n">
        <v>0.6</v>
      </c>
      <c r="E7" s="10" t="inlineStr">
        <is>
          <t>tonnes of product</t>
        </is>
      </c>
    </row>
    <row r="8" ht="30" customHeight="1">
      <c r="A8" s="6" t="inlineStr">
        <is>
          <t>WWF</t>
        </is>
      </c>
      <c r="B8" s="7" t="inlineStr">
        <is>
          <t>Plant share of dairy (FG2)</t>
        </is>
      </c>
      <c r="C8" s="8">
        <f>WWF!E20</f>
        <v/>
      </c>
      <c r="D8" s="9" t="n"/>
      <c r="E8" s="10" t="inlineStr">
        <is>
          <t>tonnes, dairy equivalents</t>
        </is>
      </c>
    </row>
    <row r="9" ht="30" customHeight="1">
      <c r="A9" s="6" t="inlineStr">
        <is>
          <t>WWF</t>
        </is>
      </c>
      <c r="B9" s="7" t="inlineStr">
        <is>
          <t>Plant share of the whole diet</t>
        </is>
      </c>
      <c r="C9" s="8">
        <f>WWF!E19</f>
        <v/>
      </c>
      <c r="D9" s="9" t="n">
        <v>0.74</v>
      </c>
      <c r="E9" s="10" t="inlineStr">
        <is>
          <t>tonnes of product</t>
        </is>
      </c>
    </row>
    <row r="10" ht="30" customHeight="1">
      <c r="A10" s="6" t="inlineStr">
        <is>
          <t>Protein Tracker</t>
        </is>
      </c>
      <c r="B10" s="7" t="inlineStr">
        <is>
          <t>Plant share of all protein sold</t>
        </is>
      </c>
      <c r="C10" s="8">
        <f>'Protein Tracker'!B14</f>
        <v/>
      </c>
      <c r="D10" s="9" t="n"/>
      <c r="E10" s="10" t="inlineStr">
        <is>
          <t>tonnes of protein</t>
        </is>
      </c>
    </row>
    <row r="12" ht="42" customHeight="1">
      <c r="A12" s="11" t="inlineStr">
        <is>
          <t>What this workbook contains</t>
        </is>
      </c>
      <c r="B12" s="12" t="inlineStr">
        <is>
          <t>The share of the protein Harbour Market puts on the market that is of plant origin, by the WWF Planet-Based Diets methodology first, then by Protein Tracker. The two are calculated separately and never merged.</t>
        </is>
      </c>
    </row>
    <row r="14" ht="42" customHeight="1">
      <c r="A14" s="11" t="inlineStr">
        <is>
          <t>How to use it</t>
        </is>
      </c>
      <c r="B14" s="12" t="inlineStr">
        <is>
          <t>The only input is the yellow column of the Data tab: units sold over twelve months, as in your file. Type other volumes there and every tab recalculates.</t>
        </is>
      </c>
    </row>
    <row r="16" ht="42" customHeight="1">
      <c r="A16" s="11" t="inlineStr">
        <is>
          <t>Where the values come from</t>
        </is>
      </c>
      <c r="B16" s="12" t="inlineStr">
        <is>
          <t>Protein contents: the values you declared once checked, then the Altera reference base, Open Food Facts and NEVO, plus the national table (CIQUAL in France). Every value carries its source on the Data tab.</t>
        </is>
      </c>
    </row>
    <row r="19">
      <c r="A19" s="13" t="inlineStr">
        <is>
          <t>THE TABS</t>
        </is>
      </c>
    </row>
    <row r="20">
      <c r="A20" s="14" t="inlineStr">
        <is>
          <t>WWF</t>
        </is>
      </c>
      <c r="B20" s="15" t="inlineStr">
        <is>
          <t>the seven food groups in tonnes of product, dairy in dairy equivalents, composites apart</t>
        </is>
      </c>
    </row>
    <row r="21">
      <c r="A21" s="14" t="inlineStr">
        <is>
          <t>Protein Tracker</t>
        </is>
      </c>
      <c r="B21" s="15" t="inlineStr">
        <is>
          <t>the ratio in tonnes of protein, the four classes, the data levels</t>
        </is>
      </c>
    </row>
    <row r="22">
      <c r="A22" s="14" t="inlineStr">
        <is>
          <t>By department</t>
        </is>
      </c>
      <c r="B22" s="15" t="inlineStr">
        <is>
          <t>protein sold and plant share, department by department</t>
        </is>
      </c>
    </row>
    <row r="23">
      <c r="A23" s="14" t="inlineStr">
        <is>
          <t>Scope</t>
        </is>
      </c>
      <c r="B23" s="15" t="inlineStr">
        <is>
          <t>what is in each scope, what is out and why</t>
        </is>
      </c>
    </row>
    <row r="24">
      <c r="A24" s="14" t="inlineStr">
        <is>
          <t>Corrections</t>
        </is>
      </c>
      <c r="B24" s="15" t="inlineStr">
        <is>
          <t>the anomalies found in the file and how each was resolved</t>
        </is>
      </c>
    </row>
    <row r="25">
      <c r="A25" s="14" t="inlineStr">
        <is>
          <t>Checks</t>
        </is>
      </c>
      <c r="B25" s="15" t="inlineStr">
        <is>
          <t>the identities the workbook verifies on itself</t>
        </is>
      </c>
    </row>
    <row r="26">
      <c r="A26" s="14" t="inlineStr">
        <is>
          <t>Data</t>
        </is>
      </c>
      <c r="B26" s="15" t="inlineStr">
        <is>
          <t>one row per product: classes, contents, split, data level and the source of every value</t>
        </is>
      </c>
    </row>
    <row r="28" ht="66" customHeight="1">
      <c r="A28" s="11" t="inlineStr">
        <is>
          <t>ACCURACY</t>
        </is>
      </c>
      <c r="B28" s="12" t="inlineStr">
        <is>
          <t>On a real engagement, accuracy is measured on your own catalogue, one rate per field, on a control sample sealed before review: 500 rows drawn at random, the 500 products weighing most in tonnes of protein and the 3 best sellers of every category. Every row of the sample is reviewed by hand. This demo catalogue shows no accuracy figure.</t>
        </is>
      </c>
    </row>
  </sheetData>
  <mergeCells count="14">
    <mergeCell ref="B23:E23"/>
    <mergeCell ref="B26:E26"/>
    <mergeCell ref="B12:E12"/>
    <mergeCell ref="B21:E21"/>
    <mergeCell ref="B16:E16"/>
    <mergeCell ref="A5:E5"/>
    <mergeCell ref="B25:E25"/>
    <mergeCell ref="B24:E24"/>
    <mergeCell ref="B20:E20"/>
    <mergeCell ref="C1:E2"/>
    <mergeCell ref="B28:E28"/>
    <mergeCell ref="B22:E22"/>
    <mergeCell ref="B14:E14"/>
    <mergeCell ref="A3:E3"/>
  </mergeCells>
  <hyperlinks>
    <hyperlink ref="A20" location="'WWF'!A1" display="WWF"/>
    <hyperlink ref="A21" location="'Protein Tracker'!A1" display="Protein Tracker"/>
    <hyperlink ref="A22" location="'By department'!A1" display="By department"/>
    <hyperlink ref="A23" location="'Scope'!A1" display="Scope"/>
    <hyperlink ref="A24" location="'Corrections'!A1" display="Corrections"/>
    <hyperlink ref="A25" location="'Checks'!A1" display="Checks"/>
    <hyperlink ref="A26" location="'Data'!A1" display="Data"/>
  </hyperlink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F29"/>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4" customWidth="1" min="7" max="7"/>
  </cols>
  <sheetData>
    <row r="1" ht="26" customHeight="1">
      <c r="A1" s="16" t="inlineStr">
        <is>
          <t>WWF Planet-Based Diets · plant share in tonnes of product</t>
        </is>
      </c>
    </row>
    <row r="2">
      <c r="A2" s="17" t="inlineStr">
        <is>
          <t>DEMO · Harbour Market, its departments and its volumes are fictitious. The products and their nutrition values are real, from Open Food Facts (ODbL).</t>
        </is>
      </c>
    </row>
    <row r="3" ht="30" customHeight="1">
      <c r="A3" s="18" t="inlineStr">
        <is>
          <t>Whole products by food group and origin. Dairy (FG2) counts in dairy equivalents: cheese ×10. Composites are reported apart, by category. Appendix A exclusions are listed on the Scope tab.</t>
        </is>
      </c>
    </row>
    <row r="5" ht="25.5" customHeight="1">
      <c r="A5" s="3" t="inlineStr">
        <is>
          <t xml:space="preserve">  WHOLE PRODUCTS · by food group</t>
        </is>
      </c>
    </row>
    <row r="6" ht="30" customHeight="1">
      <c r="A6" s="4" t="inlineStr">
        <is>
          <t>Food group</t>
        </is>
      </c>
      <c r="B6" s="5" t="inlineStr">
        <is>
          <t>Plant (t)</t>
        </is>
      </c>
      <c r="C6" s="5" t="inlineStr">
        <is>
          <t>Animal (t)</t>
        </is>
      </c>
      <c r="D6" s="5" t="inlineStr">
        <is>
          <t>Total (t)</t>
        </is>
      </c>
      <c r="E6" s="5" t="inlineStr">
        <is>
          <t>Plant share</t>
        </is>
      </c>
      <c r="F6" s="5" t="inlineStr">
        <is>
          <t>Planetary Health Diet</t>
        </is>
      </c>
    </row>
    <row r="7">
      <c r="A7" s="15" t="inlineStr">
        <is>
          <t>FG1 · Protein-rich foods</t>
        </is>
      </c>
      <c r="B7" s="19">
        <f>SUMIFS(Data!$AF$6:$AF$35,Data!$J$6:$J$35,"whole",Data!$K$6:$K$35,"FG1",Data!$M$6:$M$35,"plant")</f>
        <v/>
      </c>
      <c r="C7" s="19">
        <f>SUMIFS(Data!$AF$6:$AF$35,Data!$J$6:$J$35,"whole",Data!$K$6:$K$35,"FG1",Data!$M$6:$M$35,"animal")</f>
        <v/>
      </c>
      <c r="D7" s="19">
        <f>B7+C7</f>
        <v/>
      </c>
      <c r="E7" s="20">
        <f>IFERROR(B7/D7,0)</f>
        <v/>
      </c>
      <c r="F7" s="21" t="n">
        <v>0.6</v>
      </c>
    </row>
    <row r="8">
      <c r="A8" s="15" t="inlineStr">
        <is>
          <t>FG2 · Dairy</t>
        </is>
      </c>
      <c r="B8" s="19">
        <f>SUMIFS(Data!$AF$6:$AF$35,Data!$J$6:$J$35,"whole",Data!$K$6:$K$35,"FG2",Data!$M$6:$M$35,"plant")</f>
        <v/>
      </c>
      <c r="C8" s="19">
        <f>SUMIFS(Data!$AF$6:$AF$35,Data!$J$6:$J$35,"whole",Data!$K$6:$K$35,"FG2",Data!$M$6:$M$35,"animal")</f>
        <v/>
      </c>
      <c r="D8" s="19">
        <f>B8+C8</f>
        <v/>
      </c>
      <c r="E8" s="20">
        <f>IFERROR(B8/D8,0)</f>
        <v/>
      </c>
    </row>
    <row r="9">
      <c r="A9" s="15" t="inlineStr">
        <is>
          <t>FG3 · Fats</t>
        </is>
      </c>
      <c r="B9" s="19">
        <f>SUMIFS(Data!$AF$6:$AF$35,Data!$J$6:$J$35,"whole",Data!$K$6:$K$35,"FG3",Data!$M$6:$M$35,"plant")</f>
        <v/>
      </c>
      <c r="C9" s="19">
        <f>SUMIFS(Data!$AF$6:$AF$35,Data!$J$6:$J$35,"whole",Data!$K$6:$K$35,"FG3",Data!$M$6:$M$35,"animal")</f>
        <v/>
      </c>
      <c r="D9" s="19">
        <f>B9+C9</f>
        <v/>
      </c>
      <c r="E9" s="20">
        <f>IFERROR(B9/D9,0)</f>
        <v/>
      </c>
    </row>
    <row r="10">
      <c r="A10" s="15" t="inlineStr">
        <is>
          <t>FG4 · Fruit and vegetables</t>
        </is>
      </c>
      <c r="B10" s="19">
        <f>SUMIFS(Data!$AF$6:$AF$35,Data!$J$6:$J$35,"whole",Data!$K$6:$K$35,"FG4",Data!$M$6:$M$35,"plant")</f>
        <v/>
      </c>
      <c r="C10" s="19">
        <f>SUMIFS(Data!$AF$6:$AF$35,Data!$J$6:$J$35,"whole",Data!$K$6:$K$35,"FG4",Data!$M$6:$M$35,"animal")</f>
        <v/>
      </c>
      <c r="D10" s="19">
        <f>B10+C10</f>
        <v/>
      </c>
      <c r="E10" s="20">
        <f>IFERROR(B10/D10,0)</f>
        <v/>
      </c>
    </row>
    <row r="11">
      <c r="A11" s="15" t="inlineStr">
        <is>
          <t>FG5 · Grains</t>
        </is>
      </c>
      <c r="B11" s="19">
        <f>SUMIFS(Data!$AF$6:$AF$35,Data!$J$6:$J$35,"whole",Data!$K$6:$K$35,"FG5",Data!$M$6:$M$35,"plant")</f>
        <v/>
      </c>
      <c r="C11" s="19">
        <f>SUMIFS(Data!$AF$6:$AF$35,Data!$J$6:$J$35,"whole",Data!$K$6:$K$35,"FG5",Data!$M$6:$M$35,"animal")</f>
        <v/>
      </c>
      <c r="D11" s="19">
        <f>B11+C11</f>
        <v/>
      </c>
      <c r="E11" s="20">
        <f>IFERROR(B11/D11,0)</f>
        <v/>
      </c>
    </row>
    <row r="12">
      <c r="A12" s="15" t="inlineStr">
        <is>
          <t>FG6 · Tubers and starchy vegetables</t>
        </is>
      </c>
      <c r="B12" s="19">
        <f>SUMIFS(Data!$AF$6:$AF$35,Data!$J$6:$J$35,"whole",Data!$K$6:$K$35,"FG6",Data!$M$6:$M$35,"plant")</f>
        <v/>
      </c>
      <c r="C12" s="19">
        <f>SUMIFS(Data!$AF$6:$AF$35,Data!$J$6:$J$35,"whole",Data!$K$6:$K$35,"FG6",Data!$M$6:$M$35,"animal")</f>
        <v/>
      </c>
      <c r="D12" s="19">
        <f>B12+C12</f>
        <v/>
      </c>
      <c r="E12" s="20">
        <f>IFERROR(B12/D12,0)</f>
        <v/>
      </c>
    </row>
    <row r="13">
      <c r="A13" s="15" t="inlineStr">
        <is>
          <t>FG7 · Other foods</t>
        </is>
      </c>
      <c r="B13" s="19">
        <f>SUMIFS(Data!$AF$6:$AF$35,Data!$J$6:$J$35,"whole",Data!$K$6:$K$35,"FG7",Data!$M$6:$M$35,"plant")</f>
        <v/>
      </c>
      <c r="C13" s="19">
        <f>SUMIFS(Data!$AF$6:$AF$35,Data!$J$6:$J$35,"whole",Data!$K$6:$K$35,"FG7",Data!$M$6:$M$35,"animal")</f>
        <v/>
      </c>
      <c r="D13" s="19">
        <f>B13+C13</f>
        <v/>
      </c>
      <c r="E13" s="20">
        <f>IFERROR(B13/D13,0)</f>
        <v/>
      </c>
    </row>
    <row r="14">
      <c r="A14" s="22" t="inlineStr">
        <is>
          <t>Total, whole products</t>
        </is>
      </c>
      <c r="B14" s="23">
        <f>SUM(B7:B13)</f>
        <v/>
      </c>
      <c r="C14" s="23">
        <f>SUM(C7:C13)</f>
        <v/>
      </c>
      <c r="D14" s="23">
        <f>SUM(D7:D13)</f>
        <v/>
      </c>
    </row>
    <row r="16" ht="25.5" customHeight="1">
      <c r="A16" s="3" t="inlineStr">
        <is>
          <t xml:space="preserve">  THE THREE WWF RATIOS</t>
        </is>
      </c>
    </row>
    <row r="17" ht="30" customHeight="1">
      <c r="A17" s="4" t="inlineStr">
        <is>
          <t>Ratio</t>
        </is>
      </c>
      <c r="B17" s="5" t="inlineStr">
        <is>
          <t>Plant (t)</t>
        </is>
      </c>
      <c r="C17" s="5" t="inlineStr">
        <is>
          <t>Total (t)</t>
        </is>
      </c>
      <c r="D17" s="5" t="inlineStr"/>
      <c r="E17" s="5" t="inlineStr">
        <is>
          <t>Plant share</t>
        </is>
      </c>
      <c r="F17" s="5" t="inlineStr">
        <is>
          <t>Planetary Health Diet</t>
        </is>
      </c>
    </row>
    <row r="18">
      <c r="A18" s="22" t="inlineStr">
        <is>
          <t>Protein-rich foods (FG1)</t>
        </is>
      </c>
      <c r="B18" s="19">
        <f>B7</f>
        <v/>
      </c>
      <c r="C18" s="19">
        <f>D7</f>
        <v/>
      </c>
      <c r="E18" s="24">
        <f>IFERROR(B18/C18,0)</f>
        <v/>
      </c>
      <c r="F18" s="21" t="n">
        <v>0.6</v>
      </c>
    </row>
    <row r="19">
      <c r="A19" s="22" t="inlineStr">
        <is>
          <t>Whole diet (FG1 to FG7)</t>
        </is>
      </c>
      <c r="B19" s="19">
        <f>B14</f>
        <v/>
      </c>
      <c r="C19" s="19">
        <f>D14</f>
        <v/>
      </c>
      <c r="E19" s="24">
        <f>IFERROR(B19/C19,0)</f>
        <v/>
      </c>
      <c r="F19" s="21" t="n">
        <v>0.74</v>
      </c>
    </row>
    <row r="20">
      <c r="A20" s="22" t="inlineStr">
        <is>
          <t>Dairy (FG2)</t>
        </is>
      </c>
      <c r="B20" s="19">
        <f>B8</f>
        <v/>
      </c>
      <c r="C20" s="19">
        <f>D8</f>
        <v/>
      </c>
      <c r="E20" s="24">
        <f>IFERROR(B20/C20,0)</f>
        <v/>
      </c>
    </row>
    <row r="22" ht="25.5" customHeight="1">
      <c r="A22" s="25" t="inlineStr">
        <is>
          <t xml:space="preserve">  COMPOSITES · reported apart, by category</t>
        </is>
      </c>
    </row>
    <row r="23" ht="30" customHeight="1">
      <c r="A23" s="4" t="inlineStr">
        <is>
          <t>Category</t>
        </is>
      </c>
      <c r="B23" s="5" t="inlineStr">
        <is>
          <t>Tonnes</t>
        </is>
      </c>
      <c r="C23" s="5" t="inlineStr">
        <is>
          <t>Share of composites</t>
        </is>
      </c>
      <c r="D23" s="5" t="inlineStr"/>
      <c r="E23" s="5" t="inlineStr"/>
      <c r="F23" s="5" t="inlineStr"/>
    </row>
    <row r="24">
      <c r="A24" s="15" t="inlineStr">
        <is>
          <t>Meat-based</t>
        </is>
      </c>
      <c r="B24" s="19">
        <f>SUMIFS(Data!$AE$6:$AE$35,Data!$J$6:$J$35,"composite",Data!$N$6:$N$35,"Meat-based")</f>
        <v/>
      </c>
      <c r="C24" s="20">
        <f>IFERROR(B24/$B$28,0)</f>
        <v/>
      </c>
    </row>
    <row r="25">
      <c r="A25" s="15" t="inlineStr">
        <is>
          <t>Seafood-based</t>
        </is>
      </c>
      <c r="B25" s="19">
        <f>SUMIFS(Data!$AE$6:$AE$35,Data!$J$6:$J$35,"composite",Data!$N$6:$N$35,"Seafood-based")</f>
        <v/>
      </c>
      <c r="C25" s="20">
        <f>IFERROR(B25/$B$28,0)</f>
        <v/>
      </c>
    </row>
    <row r="26">
      <c r="A26" s="15" t="inlineStr">
        <is>
          <t>Vegetarian</t>
        </is>
      </c>
      <c r="B26" s="19">
        <f>SUMIFS(Data!$AE$6:$AE$35,Data!$J$6:$J$35,"composite",Data!$N$6:$N$35,"Vegetarian")</f>
        <v/>
      </c>
      <c r="C26" s="20">
        <f>IFERROR(B26/$B$28,0)</f>
        <v/>
      </c>
    </row>
    <row r="27">
      <c r="A27" s="15" t="inlineStr">
        <is>
          <t>Vegan</t>
        </is>
      </c>
      <c r="B27" s="19">
        <f>SUMIFS(Data!$AE$6:$AE$35,Data!$J$6:$J$35,"composite",Data!$N$6:$N$35,"Vegan")</f>
        <v/>
      </c>
      <c r="C27" s="20">
        <f>IFERROR(B27/$B$28,0)</f>
        <v/>
      </c>
    </row>
    <row r="28">
      <c r="A28" s="22" t="inlineStr">
        <is>
          <t>Total, composites</t>
        </is>
      </c>
      <c r="B28" s="23">
        <f>SUM(B24:B27)</f>
        <v/>
      </c>
    </row>
    <row r="29">
      <c r="A29" s="15" t="inlineStr">
        <is>
          <t>Composites, share of all WWF tonnes</t>
        </is>
      </c>
      <c r="B29" s="20">
        <f>IFERROR(B28/(B28+SUMIFS(Data!$AE$6:$AE$35,Data!$J$6:$J$35,"whole")),0)</f>
        <v/>
      </c>
    </row>
  </sheetData>
  <mergeCells count="4">
    <mergeCell ref="A3:F3"/>
    <mergeCell ref="A16:F16"/>
    <mergeCell ref="A22:F22"/>
    <mergeCell ref="A5:F5"/>
  </mergeCell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20"/>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s>
  <sheetData>
    <row r="1" ht="26" customHeight="1">
      <c r="A1" s="16" t="inlineStr">
        <is>
          <t>Protein Tracker · plant share in tonnes of protein</t>
        </is>
      </c>
    </row>
    <row r="2">
      <c r="A2" s="17" t="inlineStr">
        <is>
          <t>DEMO · Harbour Market, its departments and its volumes are fictitious. The products and their nutrition values are real, from Open Food Facts (ODbL).</t>
        </is>
      </c>
    </row>
    <row r="3" ht="30" customHeight="1">
      <c r="A3" s="18" t="inlineStr">
        <is>
          <t>Every product in scope, food only: tonnes sold × protein per 100 g, then split between plant and animal origin. Single-origin products are 100% one side; mixed products are split from their ingredient list or the NEVO table.</t>
        </is>
      </c>
    </row>
    <row r="5" ht="25.5" customHeight="1">
      <c r="A5" s="3" t="inlineStr">
        <is>
          <t xml:space="preserve">  BY CLASS</t>
        </is>
      </c>
    </row>
    <row r="6" ht="30" customHeight="1">
      <c r="A6" s="4" t="inlineStr">
        <is>
          <t>Class</t>
        </is>
      </c>
      <c r="B6" s="5" t="inlineStr">
        <is>
          <t>Protein (t)</t>
        </is>
      </c>
      <c r="C6" s="5" t="inlineStr">
        <is>
          <t>Plant (t)</t>
        </is>
      </c>
      <c r="D6" s="5" t="inlineStr">
        <is>
          <t>Animal (t)</t>
        </is>
      </c>
      <c r="E6" s="5" t="inlineStr">
        <is>
          <t>Plant share</t>
        </is>
      </c>
      <c r="F6" s="5" t="inlineStr">
        <is>
          <t>Share of protein</t>
        </is>
      </c>
    </row>
    <row r="7">
      <c r="A7" s="15" t="inlineStr">
        <is>
          <t>Animal core</t>
        </is>
      </c>
      <c r="B7" s="26">
        <f>SUMIFS(Data!$AB$6:$AB$35,Data!$O$6:$O$35,"Animal core")</f>
        <v/>
      </c>
      <c r="C7" s="26">
        <f>SUMIFS(Data!$AC$6:$AC$35,Data!$O$6:$O$35,"Animal core")</f>
        <v/>
      </c>
      <c r="D7" s="26">
        <f>SUMIFS(Data!$AD$6:$AD$35,Data!$O$6:$O$35,"Animal core")</f>
        <v/>
      </c>
      <c r="E7" s="20">
        <f>IFERROR(C7/B7,0)</f>
        <v/>
      </c>
      <c r="F7" s="20">
        <f>IFERROR(B7/$B$11,0)</f>
        <v/>
      </c>
    </row>
    <row r="8">
      <c r="A8" s="15" t="inlineStr">
        <is>
          <t>Composite</t>
        </is>
      </c>
      <c r="B8" s="26">
        <f>SUMIFS(Data!$AB$6:$AB$35,Data!$O$6:$O$35,"Composite")</f>
        <v/>
      </c>
      <c r="C8" s="26">
        <f>SUMIFS(Data!$AC$6:$AC$35,Data!$O$6:$O$35,"Composite")</f>
        <v/>
      </c>
      <c r="D8" s="26">
        <f>SUMIFS(Data!$AD$6:$AD$35,Data!$O$6:$O$35,"Composite")</f>
        <v/>
      </c>
      <c r="E8" s="20">
        <f>IFERROR(C8/B8,0)</f>
        <v/>
      </c>
      <c r="F8" s="20">
        <f>IFERROR(B8/$B$11,0)</f>
        <v/>
      </c>
    </row>
    <row r="9">
      <c r="A9" s="15" t="inlineStr">
        <is>
          <t>Plant-based non-core</t>
        </is>
      </c>
      <c r="B9" s="26">
        <f>SUMIFS(Data!$AB$6:$AB$35,Data!$O$6:$O$35,"Plant-based non-core")</f>
        <v/>
      </c>
      <c r="C9" s="26">
        <f>SUMIFS(Data!$AC$6:$AC$35,Data!$O$6:$O$35,"Plant-based non-core")</f>
        <v/>
      </c>
      <c r="D9" s="26">
        <f>SUMIFS(Data!$AD$6:$AD$35,Data!$O$6:$O$35,"Plant-based non-core")</f>
        <v/>
      </c>
      <c r="E9" s="20">
        <f>IFERROR(C9/B9,0)</f>
        <v/>
      </c>
      <c r="F9" s="20">
        <f>IFERROR(B9/$B$11,0)</f>
        <v/>
      </c>
    </row>
    <row r="10">
      <c r="A10" s="15" t="inlineStr">
        <is>
          <t>Plant-based core</t>
        </is>
      </c>
      <c r="B10" s="26">
        <f>SUMIFS(Data!$AB$6:$AB$35,Data!$O$6:$O$35,"Plant-based core")</f>
        <v/>
      </c>
      <c r="C10" s="26">
        <f>SUMIFS(Data!$AC$6:$AC$35,Data!$O$6:$O$35,"Plant-based core")</f>
        <v/>
      </c>
      <c r="D10" s="26">
        <f>SUMIFS(Data!$AD$6:$AD$35,Data!$O$6:$O$35,"Plant-based core")</f>
        <v/>
      </c>
      <c r="E10" s="20">
        <f>IFERROR(C10/B10,0)</f>
        <v/>
      </c>
      <c r="F10" s="20">
        <f>IFERROR(B10/$B$11,0)</f>
        <v/>
      </c>
    </row>
    <row r="11">
      <c r="A11" s="22" t="inlineStr">
        <is>
          <t>Total</t>
        </is>
      </c>
      <c r="B11" s="27">
        <f>SUM(B7:B10)</f>
        <v/>
      </c>
      <c r="C11" s="27">
        <f>SUM(C7:C10)</f>
        <v/>
      </c>
      <c r="D11" s="27">
        <f>SUM(D7:D10)</f>
        <v/>
      </c>
      <c r="F11" s="28">
        <f>SUM(F7:F10)</f>
        <v/>
      </c>
    </row>
    <row r="13" ht="25.5" customHeight="1">
      <c r="A13" s="3" t="inlineStr">
        <is>
          <t xml:space="preserve">  THE RATIO</t>
        </is>
      </c>
    </row>
    <row r="14" ht="36" customHeight="1">
      <c r="A14" s="22" t="inlineStr">
        <is>
          <t>Plant share of all protein sold</t>
        </is>
      </c>
      <c r="B14" s="29">
        <f>IFERROR(C11/B11,0)</f>
        <v/>
      </c>
    </row>
    <row r="15">
      <c r="A15" s="15" t="inlineStr">
        <is>
          <t>Animal share of all protein sold</t>
        </is>
      </c>
      <c r="B15" s="20">
        <f>IFERROR(D11/B11,0)</f>
        <v/>
      </c>
    </row>
    <row r="17" ht="25.5" customHeight="1">
      <c r="A17" s="25" t="inlineStr">
        <is>
          <t xml:space="preserve">  DATA LEVELS</t>
        </is>
      </c>
    </row>
    <row r="18" ht="30" customHeight="1">
      <c r="A18" s="4" t="inlineStr">
        <is>
          <t>Level</t>
        </is>
      </c>
      <c r="B18" s="5" t="inlineStr">
        <is>
          <t>Protein (t)</t>
        </is>
      </c>
      <c r="C18" s="5" t="inlineStr">
        <is>
          <t>Share of protein</t>
        </is>
      </c>
      <c r="D18" s="5" t="inlineStr"/>
      <c r="E18" s="5" t="inlineStr"/>
      <c r="F18" s="5" t="inlineStr"/>
    </row>
    <row r="19">
      <c r="A19" s="15" t="inlineStr">
        <is>
          <t>Level A · measured: single origin, ingredient list or NEVO</t>
        </is>
      </c>
      <c r="B19" s="26">
        <f>SUMIFS(Data!$AB$6:$AB$35,Data!$Y$6:$Y$35,"A")</f>
        <v/>
      </c>
      <c r="C19" s="20">
        <f>IFERROR(B19/$B$11,0)</f>
        <v/>
      </c>
    </row>
    <row r="20">
      <c r="A20" s="15" t="inlineStr">
        <is>
          <t>Level B · by convention, 50/50</t>
        </is>
      </c>
      <c r="B20" s="26">
        <f>SUMIFS(Data!$AB$6:$AB$35,Data!$Y$6:$Y$35,"B")</f>
        <v/>
      </c>
      <c r="C20" s="20">
        <f>IFERROR(B20/$B$11,0)</f>
        <v/>
      </c>
    </row>
  </sheetData>
  <mergeCells count="4">
    <mergeCell ref="A3:F3"/>
    <mergeCell ref="A13:F13"/>
    <mergeCell ref="A5:F5"/>
    <mergeCell ref="A17:F17"/>
  </mergeCell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F21"/>
  <sheetViews>
    <sheetView showGridLines="0" workbookViewId="0">
      <selection activeCell="A1" sqref="A1"/>
    </sheetView>
  </sheetViews>
  <sheetFormatPr baseColWidth="8" defaultRowHeight="15"/>
  <cols>
    <col width="22" customWidth="1" min="1" max="1"/>
    <col width="15" customWidth="1" min="2" max="2"/>
    <col width="15" customWidth="1" min="3" max="3"/>
    <col width="15" customWidth="1" min="4" max="4"/>
    <col width="15" customWidth="1" min="5" max="5"/>
    <col width="15" customWidth="1" min="6" max="6"/>
  </cols>
  <sheetData>
    <row r="1" ht="26" customHeight="1">
      <c r="A1" s="16" t="inlineStr">
        <is>
          <t>Protein Tracker · by department</t>
        </is>
      </c>
    </row>
    <row r="2">
      <c r="A2" s="17" t="inlineStr">
        <is>
          <t>DEMO · Harbour Market, its departments and its volumes are fictitious. The products and their nutrition values are real, from Open Food Facts (ODbL).</t>
        </is>
      </c>
    </row>
    <row r="4" ht="30" customHeight="1">
      <c r="A4" s="4" t="inlineStr">
        <is>
          <t>Department</t>
        </is>
      </c>
      <c r="B4" s="5" t="inlineStr">
        <is>
          <t>Mass sold (t)</t>
        </is>
      </c>
      <c r="C4" s="5" t="inlineStr">
        <is>
          <t>Protein (t)</t>
        </is>
      </c>
      <c r="D4" s="5" t="inlineStr">
        <is>
          <t>Plant protein (t)</t>
        </is>
      </c>
      <c r="E4" s="5" t="inlineStr">
        <is>
          <t>Plant share</t>
        </is>
      </c>
      <c r="F4" s="5" t="inlineStr">
        <is>
          <t>Share of protein</t>
        </is>
      </c>
    </row>
    <row r="5">
      <c r="A5" s="15" t="inlineStr">
        <is>
          <t>Dairy</t>
        </is>
      </c>
      <c r="B5" s="19">
        <f>SUMIFS(Data!$AA$6:$AA$35,Data!$E$6:$E$35,"Dairy")</f>
        <v/>
      </c>
      <c r="C5" s="26">
        <f>SUMIFS(Data!$AB$6:$AB$35,Data!$E$6:$E$35,"Dairy")</f>
        <v/>
      </c>
      <c r="D5" s="26">
        <f>SUMIFS(Data!$AC$6:$AC$35,Data!$E$6:$E$35,"Dairy")</f>
        <v/>
      </c>
      <c r="E5" s="20">
        <f>IFERROR(D5/C5,0)</f>
        <v/>
      </c>
      <c r="F5" s="20">
        <f>IFERROR(C5/$C$19,0)</f>
        <v/>
      </c>
    </row>
    <row r="6">
      <c r="A6" s="15" t="inlineStr">
        <is>
          <t>Grocery</t>
        </is>
      </c>
      <c r="B6" s="19">
        <f>SUMIFS(Data!$AA$6:$AA$35,Data!$E$6:$E$35,"Grocery")</f>
        <v/>
      </c>
      <c r="C6" s="26">
        <f>SUMIFS(Data!$AB$6:$AB$35,Data!$E$6:$E$35,"Grocery")</f>
        <v/>
      </c>
      <c r="D6" s="26">
        <f>SUMIFS(Data!$AC$6:$AC$35,Data!$E$6:$E$35,"Grocery")</f>
        <v/>
      </c>
      <c r="E6" s="20">
        <f>IFERROR(D6/C6,0)</f>
        <v/>
      </c>
      <c r="F6" s="20">
        <f>IFERROR(C6/$C$19,0)</f>
        <v/>
      </c>
    </row>
    <row r="7">
      <c r="A7" s="15" t="inlineStr">
        <is>
          <t>Poultry</t>
        </is>
      </c>
      <c r="B7" s="19">
        <f>SUMIFS(Data!$AA$6:$AA$35,Data!$E$6:$E$35,"Poultry")</f>
        <v/>
      </c>
      <c r="C7" s="26">
        <f>SUMIFS(Data!$AB$6:$AB$35,Data!$E$6:$E$35,"Poultry")</f>
        <v/>
      </c>
      <c r="D7" s="26">
        <f>SUMIFS(Data!$AC$6:$AC$35,Data!$E$6:$E$35,"Poultry")</f>
        <v/>
      </c>
      <c r="E7" s="20">
        <f>IFERROR(D7/C7,0)</f>
        <v/>
      </c>
      <c r="F7" s="20">
        <f>IFERROR(C7/$C$19,0)</f>
        <v/>
      </c>
    </row>
    <row r="8">
      <c r="A8" s="15" t="inlineStr">
        <is>
          <t>Butchery</t>
        </is>
      </c>
      <c r="B8" s="19">
        <f>SUMIFS(Data!$AA$6:$AA$35,Data!$E$6:$E$35,"Butchery")</f>
        <v/>
      </c>
      <c r="C8" s="26">
        <f>SUMIFS(Data!$AB$6:$AB$35,Data!$E$6:$E$35,"Butchery")</f>
        <v/>
      </c>
      <c r="D8" s="26">
        <f>SUMIFS(Data!$AC$6:$AC$35,Data!$E$6:$E$35,"Butchery")</f>
        <v/>
      </c>
      <c r="E8" s="20">
        <f>IFERROR(D8/C8,0)</f>
        <v/>
      </c>
      <c r="F8" s="20">
        <f>IFERROR(C8/$C$19,0)</f>
        <v/>
      </c>
    </row>
    <row r="9">
      <c r="A9" s="15" t="inlineStr">
        <is>
          <t>Deli</t>
        </is>
      </c>
      <c r="B9" s="19">
        <f>SUMIFS(Data!$AA$6:$AA$35,Data!$E$6:$E$35,"Deli")</f>
        <v/>
      </c>
      <c r="C9" s="26">
        <f>SUMIFS(Data!$AB$6:$AB$35,Data!$E$6:$E$35,"Deli")</f>
        <v/>
      </c>
      <c r="D9" s="26">
        <f>SUMIFS(Data!$AC$6:$AC$35,Data!$E$6:$E$35,"Deli")</f>
        <v/>
      </c>
      <c r="E9" s="20">
        <f>IFERROR(D9/C9,0)</f>
        <v/>
      </c>
      <c r="F9" s="20">
        <f>IFERROR(C9/$C$19,0)</f>
        <v/>
      </c>
    </row>
    <row r="10">
      <c r="A10" s="15" t="inlineStr">
        <is>
          <t>Breakfast</t>
        </is>
      </c>
      <c r="B10" s="19">
        <f>SUMIFS(Data!$AA$6:$AA$35,Data!$E$6:$E$35,"Breakfast")</f>
        <v/>
      </c>
      <c r="C10" s="26">
        <f>SUMIFS(Data!$AB$6:$AB$35,Data!$E$6:$E$35,"Breakfast")</f>
        <v/>
      </c>
      <c r="D10" s="26">
        <f>SUMIFS(Data!$AC$6:$AC$35,Data!$E$6:$E$35,"Breakfast")</f>
        <v/>
      </c>
      <c r="E10" s="20">
        <f>IFERROR(D10/C10,0)</f>
        <v/>
      </c>
      <c r="F10" s="20">
        <f>IFERROR(C10/$C$19,0)</f>
        <v/>
      </c>
    </row>
    <row r="11">
      <c r="A11" s="15" t="inlineStr">
        <is>
          <t>Cheese</t>
        </is>
      </c>
      <c r="B11" s="19">
        <f>SUMIFS(Data!$AA$6:$AA$35,Data!$E$6:$E$35,"Cheese")</f>
        <v/>
      </c>
      <c r="C11" s="26">
        <f>SUMIFS(Data!$AB$6:$AB$35,Data!$E$6:$E$35,"Cheese")</f>
        <v/>
      </c>
      <c r="D11" s="26">
        <f>SUMIFS(Data!$AC$6:$AC$35,Data!$E$6:$E$35,"Cheese")</f>
        <v/>
      </c>
      <c r="E11" s="20">
        <f>IFERROR(D11/C11,0)</f>
        <v/>
      </c>
      <c r="F11" s="20">
        <f>IFERROR(C11/$C$19,0)</f>
        <v/>
      </c>
    </row>
    <row r="12">
      <c r="A12" s="15" t="inlineStr">
        <is>
          <t>Bakery</t>
        </is>
      </c>
      <c r="B12" s="19">
        <f>SUMIFS(Data!$AA$6:$AA$35,Data!$E$6:$E$35,"Bakery")</f>
        <v/>
      </c>
      <c r="C12" s="26">
        <f>SUMIFS(Data!$AB$6:$AB$35,Data!$E$6:$E$35,"Bakery")</f>
        <v/>
      </c>
      <c r="D12" s="26">
        <f>SUMIFS(Data!$AC$6:$AC$35,Data!$E$6:$E$35,"Bakery")</f>
        <v/>
      </c>
      <c r="E12" s="20">
        <f>IFERROR(D12/C12,0)</f>
        <v/>
      </c>
      <c r="F12" s="20">
        <f>IFERROR(C12/$C$19,0)</f>
        <v/>
      </c>
    </row>
    <row r="13">
      <c r="A13" s="15" t="inlineStr">
        <is>
          <t>Frozen</t>
        </is>
      </c>
      <c r="B13" s="19">
        <f>SUMIFS(Data!$AA$6:$AA$35,Data!$E$6:$E$35,"Frozen")</f>
        <v/>
      </c>
      <c r="C13" s="26">
        <f>SUMIFS(Data!$AB$6:$AB$35,Data!$E$6:$E$35,"Frozen")</f>
        <v/>
      </c>
      <c r="D13" s="26">
        <f>SUMIFS(Data!$AC$6:$AC$35,Data!$E$6:$E$35,"Frozen")</f>
        <v/>
      </c>
      <c r="E13" s="20">
        <f>IFERROR(D13/C13,0)</f>
        <v/>
      </c>
      <c r="F13" s="20">
        <f>IFERROR(C13/$C$19,0)</f>
        <v/>
      </c>
    </row>
    <row r="14">
      <c r="A14" s="15" t="inlineStr">
        <is>
          <t>Plant-based</t>
        </is>
      </c>
      <c r="B14" s="19">
        <f>SUMIFS(Data!$AA$6:$AA$35,Data!$E$6:$E$35,"Plant-based")</f>
        <v/>
      </c>
      <c r="C14" s="26">
        <f>SUMIFS(Data!$AB$6:$AB$35,Data!$E$6:$E$35,"Plant-based")</f>
        <v/>
      </c>
      <c r="D14" s="26">
        <f>SUMIFS(Data!$AC$6:$AC$35,Data!$E$6:$E$35,"Plant-based")</f>
        <v/>
      </c>
      <c r="E14" s="20">
        <f>IFERROR(D14/C14,0)</f>
        <v/>
      </c>
      <c r="F14" s="20">
        <f>IFERROR(C14/$C$19,0)</f>
        <v/>
      </c>
    </row>
    <row r="15">
      <c r="A15" s="15" t="inlineStr">
        <is>
          <t>Snacks</t>
        </is>
      </c>
      <c r="B15" s="19">
        <f>SUMIFS(Data!$AA$6:$AA$35,Data!$E$6:$E$35,"Snacks")</f>
        <v/>
      </c>
      <c r="C15" s="26">
        <f>SUMIFS(Data!$AB$6:$AB$35,Data!$E$6:$E$35,"Snacks")</f>
        <v/>
      </c>
      <c r="D15" s="26">
        <f>SUMIFS(Data!$AC$6:$AC$35,Data!$E$6:$E$35,"Snacks")</f>
        <v/>
      </c>
      <c r="E15" s="20">
        <f>IFERROR(D15/C15,0)</f>
        <v/>
      </c>
      <c r="F15" s="20">
        <f>IFERROR(C15/$C$19,0)</f>
        <v/>
      </c>
    </row>
    <row r="16">
      <c r="A16" s="15" t="inlineStr">
        <is>
          <t>Ready meals</t>
        </is>
      </c>
      <c r="B16" s="19">
        <f>SUMIFS(Data!$AA$6:$AA$35,Data!$E$6:$E$35,"Ready meals")</f>
        <v/>
      </c>
      <c r="C16" s="26">
        <f>SUMIFS(Data!$AB$6:$AB$35,Data!$E$6:$E$35,"Ready meals")</f>
        <v/>
      </c>
      <c r="D16" s="26">
        <f>SUMIFS(Data!$AC$6:$AC$35,Data!$E$6:$E$35,"Ready meals")</f>
        <v/>
      </c>
      <c r="E16" s="20">
        <f>IFERROR(D16/C16,0)</f>
        <v/>
      </c>
      <c r="F16" s="20">
        <f>IFERROR(C16/$C$19,0)</f>
        <v/>
      </c>
    </row>
    <row r="17">
      <c r="A17" s="15" t="inlineStr">
        <is>
          <t>Drinks</t>
        </is>
      </c>
      <c r="B17" s="19">
        <f>SUMIFS(Data!$AA$6:$AA$35,Data!$E$6:$E$35,"Drinks")</f>
        <v/>
      </c>
      <c r="C17" s="26">
        <f>SUMIFS(Data!$AB$6:$AB$35,Data!$E$6:$E$35,"Drinks")</f>
        <v/>
      </c>
      <c r="D17" s="26">
        <f>SUMIFS(Data!$AC$6:$AC$35,Data!$E$6:$E$35,"Drinks")</f>
        <v/>
      </c>
      <c r="E17" s="20">
        <f>IFERROR(D17/C17,0)</f>
        <v/>
      </c>
      <c r="F17" s="20">
        <f>IFERROR(C17/$C$19,0)</f>
        <v/>
      </c>
    </row>
    <row r="18">
      <c r="A18" s="15" t="inlineStr">
        <is>
          <t>Beer &amp; wine</t>
        </is>
      </c>
      <c r="B18" s="19">
        <f>SUMIFS(Data!$AA$6:$AA$35,Data!$E$6:$E$35,"Beer &amp; wine")</f>
        <v/>
      </c>
      <c r="C18" s="26">
        <f>SUMIFS(Data!$AB$6:$AB$35,Data!$E$6:$E$35,"Beer &amp; wine")</f>
        <v/>
      </c>
      <c r="D18" s="26">
        <f>SUMIFS(Data!$AC$6:$AC$35,Data!$E$6:$E$35,"Beer &amp; wine")</f>
        <v/>
      </c>
      <c r="E18" s="20">
        <f>IFERROR(D18/C18,0)</f>
        <v/>
      </c>
      <c r="F18" s="20">
        <f>IFERROR(C18/$C$19,0)</f>
        <v/>
      </c>
    </row>
    <row r="19">
      <c r="A19" s="22" t="inlineStr">
        <is>
          <t>Total</t>
        </is>
      </c>
      <c r="B19" s="23">
        <f>SUM(B5:B18)</f>
        <v/>
      </c>
      <c r="C19" s="27">
        <f>SUM(C5:C18)</f>
        <v/>
      </c>
      <c r="D19" s="27">
        <f>SUM(D5:D18)</f>
        <v/>
      </c>
      <c r="E19" s="28">
        <f>IFERROR(D19/C19,0)</f>
        <v/>
      </c>
    </row>
    <row r="21">
      <c r="A21" s="17" t="inlineStr">
        <is>
          <t>Departments are Harbour Market's own, as in the file received. Out-of-scope products carry no protein here.</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5"/>
  <sheetViews>
    <sheetView showGridLines="0" workbookViewId="0">
      <selection activeCell="A1" sqref="A1"/>
    </sheetView>
  </sheetViews>
  <sheetFormatPr baseColWidth="8" defaultRowHeight="15"/>
  <cols>
    <col width="34" customWidth="1" min="1" max="1"/>
    <col width="14" customWidth="1" min="2" max="2"/>
    <col width="14" customWidth="1" min="3" max="3"/>
    <col width="40" customWidth="1" min="4" max="4"/>
  </cols>
  <sheetData>
    <row r="1" ht="26" customHeight="1">
      <c r="A1" s="16" t="inlineStr">
        <is>
          <t>Scope · what each methodology covers</t>
        </is>
      </c>
    </row>
    <row r="2">
      <c r="A2" s="17" t="inlineStr">
        <is>
          <t>DEMO · Harbour Market, its departments and its volumes are fictitious. The products and their nutrition values are real, from Open Food Facts (ODbL).</t>
        </is>
      </c>
    </row>
    <row r="4" ht="30" customHeight="1">
      <c r="A4" s="4" t="inlineStr"/>
      <c r="B4" s="5" t="inlineStr">
        <is>
          <t>WWF</t>
        </is>
      </c>
      <c r="C4" s="5" t="inlineStr">
        <is>
          <t>Protein Tracker</t>
        </is>
      </c>
      <c r="D4" s="5" t="inlineStr"/>
    </row>
    <row r="5">
      <c r="A5" s="15" t="inlineStr">
        <is>
          <t>Products received</t>
        </is>
      </c>
      <c r="B5" s="30">
        <f>COUNTA(Data!$A$6:$A$35)</f>
        <v/>
      </c>
      <c r="C5" s="30">
        <f>COUNTA(Data!$A$6:$A$35)</f>
        <v/>
      </c>
    </row>
    <row r="6">
      <c r="A6" s="22" t="inlineStr">
        <is>
          <t>In scope</t>
        </is>
      </c>
      <c r="B6" s="31">
        <f>COUNTIF(Data!$G$6:$G$35,"yes")</f>
        <v/>
      </c>
      <c r="C6" s="31">
        <f>COUNTIF(Data!$H$6:$H$35,"yes")</f>
        <v/>
      </c>
    </row>
    <row r="7">
      <c r="A7" s="15" t="inlineStr">
        <is>
          <t>Out of scope</t>
        </is>
      </c>
      <c r="B7" s="30">
        <f>B5-B6</f>
        <v/>
      </c>
      <c r="C7" s="30">
        <f>C5-C6</f>
        <v/>
      </c>
    </row>
    <row r="9" ht="25.5" customHeight="1">
      <c r="A9" s="25" t="inlineStr">
        <is>
          <t xml:space="preserve">  OUT OF SCOPE, PRODUCT BY PRODUCT</t>
        </is>
      </c>
    </row>
    <row r="10" ht="30" customHeight="1">
      <c r="A10" s="4" t="inlineStr">
        <is>
          <t>Product</t>
        </is>
      </c>
      <c r="B10" s="5" t="inlineStr">
        <is>
          <t>WWF</t>
        </is>
      </c>
      <c r="C10" s="5" t="inlineStr">
        <is>
          <t>Protein Tracker</t>
        </is>
      </c>
      <c r="D10" s="5" t="inlineStr">
        <is>
          <t>Reason</t>
        </is>
      </c>
    </row>
    <row r="11">
      <c r="A11" s="15" t="inlineStr">
        <is>
          <t>COCA COLA ORIGINAL CAN 33CL</t>
        </is>
      </c>
      <c r="B11" s="32" t="inlineStr">
        <is>
          <t>out</t>
        </is>
      </c>
      <c r="C11" s="32" t="inlineStr">
        <is>
          <t>in</t>
        </is>
      </c>
      <c r="D11" s="15" t="inlineStr">
        <is>
          <t>Appendix A: soft drink, WWF only</t>
        </is>
      </c>
    </row>
    <row r="12">
      <c r="A12" s="15" t="inlineStr">
        <is>
          <t>HEINEKEN BIERE 33CL</t>
        </is>
      </c>
      <c r="B12" s="32" t="inlineStr">
        <is>
          <t>out</t>
        </is>
      </c>
      <c r="C12" s="32" t="inlineStr">
        <is>
          <t>in</t>
        </is>
      </c>
      <c r="D12" s="15" t="inlineStr">
        <is>
          <t>Appendix A: alcohol, WWF only</t>
        </is>
      </c>
    </row>
    <row r="13">
      <c r="A13" s="15" t="inlineStr">
        <is>
          <t>LOTUS PQ AQUA TUBE X12</t>
        </is>
      </c>
      <c r="B13" s="32" t="inlineStr">
        <is>
          <t>out</t>
        </is>
      </c>
      <c r="C13" s="32" t="inlineStr">
        <is>
          <t>out</t>
        </is>
      </c>
      <c r="D13" s="15" t="inlineStr">
        <is>
          <t>Non-food: out of both scopes</t>
        </is>
      </c>
    </row>
    <row r="15" ht="30" customHeight="1">
      <c r="A15" s="18" t="inlineStr">
        <is>
          <t>WWF Appendix A excludes soft drinks and alcohol from the WWF ratios; Protein Tracker keeps every food and drink. Non-food is out of both.</t>
        </is>
      </c>
    </row>
  </sheetData>
  <mergeCells count="2">
    <mergeCell ref="A15:D15"/>
    <mergeCell ref="A9:D9"/>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7"/>
  <sheetViews>
    <sheetView showGridLines="0" workbookViewId="0">
      <selection activeCell="A1" sqref="A1"/>
    </sheetView>
  </sheetViews>
  <sheetFormatPr baseColWidth="8" defaultRowHeight="15"/>
  <cols>
    <col width="32" customWidth="1" min="1" max="1"/>
    <col width="14" customWidth="1" min="2" max="2"/>
    <col width="16" customWidth="1" min="3" max="3"/>
    <col width="16" customWidth="1" min="4" max="4"/>
    <col width="50" customWidth="1" min="5" max="5"/>
    <col width="16" customWidth="1" min="6" max="6"/>
  </cols>
  <sheetData>
    <row r="1" ht="26" customHeight="1">
      <c r="A1" s="16" t="inlineStr">
        <is>
          <t>Corrections · anomalies found in the file</t>
        </is>
      </c>
    </row>
    <row r="2">
      <c r="A2" s="17" t="inlineStr">
        <is>
          <t>DEMO · Harbour Market, its departments and its volumes are fictitious. The products and their nutrition values are real, from Open Food Facts (ODbL).</t>
        </is>
      </c>
    </row>
    <row r="4" ht="30" customHeight="1">
      <c r="A4" s="4" t="inlineStr">
        <is>
          <t>Product</t>
        </is>
      </c>
      <c r="B4" s="5" t="inlineStr">
        <is>
          <t>Field</t>
        </is>
      </c>
      <c r="C4" s="5" t="inlineStr">
        <is>
          <t>As received</t>
        </is>
      </c>
      <c r="D4" s="5" t="inlineStr">
        <is>
          <t>Used</t>
        </is>
      </c>
      <c r="E4" s="5" t="inlineStr">
        <is>
          <t>How it was found</t>
        </is>
      </c>
      <c r="F4" s="5" t="inlineStr">
        <is>
          <t>Decision</t>
        </is>
      </c>
    </row>
    <row r="5" ht="42" customHeight="1">
      <c r="A5" s="12" t="inlineStr">
        <is>
          <t>ACTIVIA NATURE 4X125G</t>
        </is>
      </c>
      <c r="B5" s="33" t="inlineStr">
        <is>
          <t>Barcode</t>
        </is>
      </c>
      <c r="C5" s="34" t="inlineStr">
        <is>
          <t>3033491147063</t>
        </is>
      </c>
      <c r="D5" s="35" t="inlineStr">
        <is>
          <t>3033491147067</t>
        </is>
      </c>
      <c r="E5" s="12" t="inlineStr">
        <is>
          <t>Fails the GS1 check digit; matched by name in the Altera reference base, the last digit was mistyped.</t>
        </is>
      </c>
      <c r="F5" s="36" t="inlineStr">
        <is>
          <t>Accepted</t>
        </is>
      </c>
    </row>
    <row r="6" ht="42" customHeight="1">
      <c r="A6" s="12" t="inlineStr">
        <is>
          <t>BARILLA SPAGHETTI N5 500G</t>
        </is>
      </c>
      <c r="B6" s="33" t="inlineStr">
        <is>
          <t>Protein (g/100 g)</t>
        </is>
      </c>
      <c r="C6" s="34" t="inlineStr">
        <is>
          <t>65</t>
        </is>
      </c>
      <c r="D6" s="35" t="inlineStr">
        <is>
          <t>13</t>
        </is>
      </c>
      <c r="E6" s="12" t="inlineStr">
        <is>
          <t>Declared energy does not match 4 × protein + 9 × fat + 4 × carbohydrate: a per-pack figure entered per 100 g. Value from Open Food Facts, by barcode.</t>
        </is>
      </c>
      <c r="F6" s="36" t="inlineStr">
        <is>
          <t>Accepted</t>
        </is>
      </c>
    </row>
    <row r="7" ht="42" customHeight="1">
      <c r="A7" s="12" t="inlineStr">
        <is>
          <t>PRINGLES SOUR CREAM ONION 175G</t>
        </is>
      </c>
      <c r="B7" s="33" t="inlineStr">
        <is>
          <t>Net weight (kg)</t>
        </is>
      </c>
      <c r="C7" s="34" t="inlineStr">
        <is>
          <t>(empty)</t>
        </is>
      </c>
      <c r="D7" s="35" t="inlineStr">
        <is>
          <t>0.175</t>
        </is>
      </c>
      <c r="E7" s="12" t="inlineStr">
        <is>
          <t>Missing in the file; read from the till label.</t>
        </is>
      </c>
      <c r="F7" s="36" t="inlineStr">
        <is>
          <t>Accepted</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D14"/>
  <sheetViews>
    <sheetView showGridLines="0" workbookViewId="0">
      <selection activeCell="A1" sqref="A1"/>
    </sheetView>
  </sheetViews>
  <sheetFormatPr baseColWidth="8" defaultRowHeight="15"/>
  <cols>
    <col width="60" customWidth="1" min="1" max="1"/>
    <col width="16" customWidth="1" min="2" max="2"/>
    <col width="16" customWidth="1" min="3" max="3"/>
    <col width="12" customWidth="1" min="4" max="4"/>
  </cols>
  <sheetData>
    <row r="1" ht="26" customHeight="1">
      <c r="A1" s="16" t="inlineStr">
        <is>
          <t>Checks · identities the workbook verifies on itself</t>
        </is>
      </c>
    </row>
    <row r="2">
      <c r="A2" s="17" t="inlineStr">
        <is>
          <t>DEMO · Harbour Market, its departments and its volumes are fictitious. The products and their nutrition values are real, from Open Food Facts (ODbL).</t>
        </is>
      </c>
    </row>
    <row r="4" ht="30" customHeight="1">
      <c r="A4" s="4" t="inlineStr">
        <is>
          <t>Identity</t>
        </is>
      </c>
      <c r="B4" s="5" t="inlineStr">
        <is>
          <t>Left</t>
        </is>
      </c>
      <c r="C4" s="5" t="inlineStr">
        <is>
          <t>Right</t>
        </is>
      </c>
      <c r="D4" s="5" t="inlineStr">
        <is>
          <t>Result</t>
        </is>
      </c>
    </row>
    <row r="5">
      <c r="A5" s="15" t="inlineStr">
        <is>
          <t>Plant + animal protein = total protein (Protein Tracker)</t>
        </is>
      </c>
      <c r="B5" s="37">
        <f>'Protein Tracker'!C11+'Protein Tracker'!D11</f>
        <v/>
      </c>
      <c r="C5" s="37">
        <f>'Protein Tracker'!B11</f>
        <v/>
      </c>
      <c r="D5" s="38">
        <f>IF(ABS(B5-C5)&lt;0.000001,1,0)</f>
        <v/>
      </c>
    </row>
    <row r="6">
      <c r="A6" s="15" t="inlineStr">
        <is>
          <t>Classes add up to the protein of the Data tab</t>
        </is>
      </c>
      <c r="B6" s="37">
        <f>'Protein Tracker'!B11</f>
        <v/>
      </c>
      <c r="C6" s="37">
        <f>SUM(Data!$AB$6:$AB$35)</f>
        <v/>
      </c>
      <c r="D6" s="38">
        <f>IF(ABS(B6-C6)&lt;0.000001,1,0)</f>
        <v/>
      </c>
    </row>
    <row r="7">
      <c r="A7" s="15" t="inlineStr">
        <is>
          <t>Departments add up to the protein of the Data tab</t>
        </is>
      </c>
      <c r="B7" s="37">
        <f>'By department'!C19</f>
        <v/>
      </c>
      <c r="C7" s="37">
        <f>SUM(Data!$AB$6:$AB$35)</f>
        <v/>
      </c>
      <c r="D7" s="38">
        <f>IF(ABS(B7-C7)&lt;0.000001,1,0)</f>
        <v/>
      </c>
    </row>
    <row r="8">
      <c r="A8" s="15" t="inlineStr">
        <is>
          <t>Food groups add up to the whole-product tonnes of the Data tab</t>
        </is>
      </c>
      <c r="B8" s="37">
        <f>WWF!D14</f>
        <v/>
      </c>
      <c r="C8" s="37">
        <f>SUMIFS(Data!$AF$6:$AF$35,Data!$J$6:$J$35,"whole")</f>
        <v/>
      </c>
      <c r="D8" s="38">
        <f>IF(ABS(B8-C8)&lt;0.000001,1,0)</f>
        <v/>
      </c>
    </row>
    <row r="9">
      <c r="A9" s="15" t="inlineStr">
        <is>
          <t>Composite categories add up to the composite tonnes of the Data tab</t>
        </is>
      </c>
      <c r="B9" s="37">
        <f>WWF!B28</f>
        <v/>
      </c>
      <c r="C9" s="37">
        <f>SUMIFS(Data!$AE$6:$AE$35,Data!$J$6:$J$35,"composite")</f>
        <v/>
      </c>
      <c r="D9" s="38">
        <f>IF(ABS(B9-C9)&lt;0.000001,1,0)</f>
        <v/>
      </c>
    </row>
    <row r="10">
      <c r="A10" s="15" t="inlineStr">
        <is>
          <t>Data levels add up to the total protein</t>
        </is>
      </c>
      <c r="B10" s="37">
        <f>'Protein Tracker'!B19+'Protein Tracker'!B20</f>
        <v/>
      </c>
      <c r="C10" s="37">
        <f>'Protein Tracker'!B11</f>
        <v/>
      </c>
      <c r="D10" s="38">
        <f>IF(ABS(B10-C10)&lt;0.000001,1,0)</f>
        <v/>
      </c>
    </row>
    <row r="11">
      <c r="A11" s="15" t="inlineStr">
        <is>
          <t>No food group on a WWF composite</t>
        </is>
      </c>
      <c r="B11" s="30">
        <f>COUNTIFS(Data!$J$6:$J$35,"composite",Data!$K$6:$K$35,"&lt;&gt;")</f>
        <v/>
      </c>
      <c r="C11" s="30">
        <f>0</f>
        <v/>
      </c>
      <c r="D11" s="38">
        <f>IF(ABS(B11-C11)&lt;0.000001,1,0)</f>
        <v/>
      </c>
    </row>
    <row r="12">
      <c r="A12" s="15" t="inlineStr">
        <is>
          <t>Dairy factor ×10 on cheese only</t>
        </is>
      </c>
      <c r="B12" s="30">
        <f>COUNTIF(Data!$Z$6:$Z$35,10)</f>
        <v/>
      </c>
      <c r="C12" s="30">
        <f>COUNTIFS(Data!$Z$6:$Z$35,10,Data!$F$6:$F$35,"Soft cheese")</f>
        <v/>
      </c>
      <c r="D12" s="38">
        <f>IF(ABS(B12-C12)&lt;0.000001,1,0)</f>
        <v/>
      </c>
    </row>
    <row r="13">
      <c r="A13" s="15" t="inlineStr">
        <is>
          <t>Every in-scope product has a protein source</t>
        </is>
      </c>
      <c r="B13" s="30">
        <f>COUNTIFS(Data!$H$6:$H$35,"yes",Data!$V$6:$V$35,"&lt;&gt;")</f>
        <v/>
      </c>
      <c r="C13" s="30">
        <f>COUNTIF(Data!$H$6:$H$35,"yes")</f>
        <v/>
      </c>
      <c r="D13" s="38">
        <f>IF(ABS(B13-C13)&lt;0.000001,1,0)</f>
        <v/>
      </c>
    </row>
    <row r="14">
      <c r="A14" s="22" t="inlineStr">
        <is>
          <t>All checks</t>
        </is>
      </c>
      <c r="D14" s="39">
        <f>IF(SUM(D5:D13)=9,1,0)</f>
        <v/>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AF3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34" customWidth="1" min="3" max="3"/>
    <col width="14" customWidth="1" min="4" max="4"/>
    <col width="13" customWidth="1" min="5" max="5"/>
    <col width="20" customWidth="1" min="6" max="6"/>
    <col width="10" customWidth="1" min="7" max="7"/>
    <col width="10" customWidth="1" min="8" max="8"/>
    <col width="26" customWidth="1" min="9" max="9"/>
    <col width="11" customWidth="1" min="10" max="10"/>
    <col width="9" customWidth="1" min="11" max="11"/>
    <col width="17" customWidth="1" min="12" max="12"/>
    <col width="9" customWidth="1" min="13" max="13"/>
    <col width="13" customWidth="1" min="14" max="14"/>
    <col width="18" customWidth="1" min="15" max="15"/>
    <col width="18" customWidth="1" min="16" max="16"/>
    <col width="10" customWidth="1" min="17" max="17"/>
    <col width="13" customWidth="1" min="18" max="18"/>
    <col width="10" customWidth="1" min="19" max="19"/>
    <col width="12" customWidth="1" min="20" max="20"/>
    <col width="10" customWidth="1" min="21" max="21"/>
    <col width="24" customWidth="1" min="22" max="22"/>
    <col width="10" customWidth="1" min="23" max="23"/>
    <col width="15" customWidth="1" min="24" max="24"/>
    <col width="7" customWidth="1" min="25" max="25"/>
    <col width="7" customWidth="1" min="26" max="26"/>
    <col width="11" customWidth="1" min="27" max="27"/>
    <col width="10" customWidth="1" min="28" max="28"/>
    <col width="10" customWidth="1" min="29" max="29"/>
    <col width="10" customWidth="1" min="30" max="30"/>
    <col width="11" customWidth="1" min="31" max="31"/>
    <col width="12" customWidth="1" min="32" max="32"/>
  </cols>
  <sheetData>
    <row r="1" ht="26" customHeight="1">
      <c r="A1" s="16" t="inlineStr">
        <is>
          <t>Data · one row per product</t>
        </is>
      </c>
    </row>
    <row r="2">
      <c r="A2" s="17" t="inlineStr">
        <is>
          <t>DEMO · Harbour Market, its departments and its volumes are fictitious. The products and their nutrition values are real, from Open Food Facts (ODbL).</t>
        </is>
      </c>
    </row>
    <row r="3">
      <c r="A3" s="40" t="inlineStr">
        <is>
          <t>Yellow column: the only input, units sold over twelve months. Grey columns: formulas. Every protein value carries its source.</t>
        </is>
      </c>
    </row>
    <row r="5" ht="54" customHeight="1">
      <c r="A5" s="4" t="inlineStr">
        <is>
          <t>EAN 13</t>
        </is>
      </c>
      <c r="B5" s="5" t="inlineStr">
        <is>
          <t>Till label</t>
        </is>
      </c>
      <c r="C5" s="5" t="inlineStr">
        <is>
          <t>Product</t>
        </is>
      </c>
      <c r="D5" s="5" t="inlineStr">
        <is>
          <t>Brand</t>
        </is>
      </c>
      <c r="E5" s="5" t="inlineStr">
        <is>
          <t>Department</t>
        </is>
      </c>
      <c r="F5" s="5" t="inlineStr">
        <is>
          <t>Segment</t>
        </is>
      </c>
      <c r="G5" s="5" t="inlineStr">
        <is>
          <t>WWF scope</t>
        </is>
      </c>
      <c r="H5" s="5" t="inlineStr">
        <is>
          <t>Protein Tracker scope</t>
        </is>
      </c>
      <c r="I5" s="5" t="inlineStr">
        <is>
          <t>Scope note</t>
        </is>
      </c>
      <c r="J5" s="5" t="inlineStr">
        <is>
          <t>WWF structure</t>
        </is>
      </c>
      <c r="K5" s="5" t="inlineStr">
        <is>
          <t>WWF food group</t>
        </is>
      </c>
      <c r="L5" s="5" t="inlineStr">
        <is>
          <t>WWF sub-group</t>
        </is>
      </c>
      <c r="M5" s="5" t="inlineStr">
        <is>
          <t>WWF origin</t>
        </is>
      </c>
      <c r="N5" s="5" t="inlineStr">
        <is>
          <t>WWF composite category</t>
        </is>
      </c>
      <c r="O5" s="5" t="inlineStr">
        <is>
          <t>Protein Tracker class</t>
        </is>
      </c>
      <c r="P5" s="5" t="inlineStr">
        <is>
          <t>Classified by</t>
        </is>
      </c>
      <c r="Q5" s="5" t="inlineStr">
        <is>
          <t>Model confidence</t>
        </is>
      </c>
      <c r="R5" s="5" t="inlineStr">
        <is>
          <t>Units sold, 12 months (INPUT)</t>
        </is>
      </c>
      <c r="S5" s="5" t="inlineStr">
        <is>
          <t>Net weight (kg)</t>
        </is>
      </c>
      <c r="T5" s="5" t="inlineStr">
        <is>
          <t>Weight from</t>
        </is>
      </c>
      <c r="U5" s="5" t="inlineStr">
        <is>
          <t>Protein (g/100 g)</t>
        </is>
      </c>
      <c r="V5" s="5" t="inlineStr">
        <is>
          <t>Protein value from</t>
        </is>
      </c>
      <c r="W5" s="5" t="inlineStr">
        <is>
          <t>Plant share of protein</t>
        </is>
      </c>
      <c r="X5" s="5" t="inlineStr">
        <is>
          <t>Split measured by</t>
        </is>
      </c>
      <c r="Y5" s="5" t="inlineStr">
        <is>
          <t>Data level</t>
        </is>
      </c>
      <c r="Z5" s="5" t="inlineStr">
        <is>
          <t>Dairy factor</t>
        </is>
      </c>
      <c r="AA5" s="5" t="inlineStr">
        <is>
          <t>Mass sold, PT scope (t)</t>
        </is>
      </c>
      <c r="AB5" s="5" t="inlineStr">
        <is>
          <t>Protein (t)</t>
        </is>
      </c>
      <c r="AC5" s="5" t="inlineStr">
        <is>
          <t>Plant protein (t)</t>
        </is>
      </c>
      <c r="AD5" s="5" t="inlineStr">
        <is>
          <t>Animal protein (t)</t>
        </is>
      </c>
      <c r="AE5" s="5" t="inlineStr">
        <is>
          <t>Mass sold, WWF scope (t)</t>
        </is>
      </c>
      <c r="AF5" s="5" t="inlineStr">
        <is>
          <t>WWF tonnes, dairy equivalents</t>
        </is>
      </c>
    </row>
    <row r="6">
      <c r="A6" s="41" t="inlineStr">
        <is>
          <t>3181232220286</t>
        </is>
      </c>
      <c r="B6" s="15" t="inlineStr">
        <is>
          <t>CHARAL STK HACHE 5%MG 2X130G</t>
        </is>
      </c>
      <c r="C6" s="15" t="inlineStr">
        <is>
          <t>Steaks hachés 5% MG, 2 × 130 g</t>
        </is>
      </c>
      <c r="D6" s="15" t="inlineStr">
        <is>
          <t>Charal</t>
        </is>
      </c>
      <c r="E6" s="15" t="inlineStr">
        <is>
          <t>Butchery</t>
        </is>
      </c>
      <c r="F6" s="15" t="inlineStr">
        <is>
          <t>Minced beef</t>
        </is>
      </c>
      <c r="G6" s="15" t="inlineStr">
        <is>
          <t>yes</t>
        </is>
      </c>
      <c r="H6" s="15" t="inlineStr">
        <is>
          <t>yes</t>
        </is>
      </c>
      <c r="I6" s="15" t="n"/>
      <c r="J6" s="15" t="inlineStr">
        <is>
          <t>whole</t>
        </is>
      </c>
      <c r="K6" s="15" t="inlineStr">
        <is>
          <t>FG1</t>
        </is>
      </c>
      <c r="L6" s="15" t="inlineStr">
        <is>
          <t>red meat</t>
        </is>
      </c>
      <c r="M6" s="15" t="inlineStr">
        <is>
          <t>animal</t>
        </is>
      </c>
      <c r="N6" s="15" t="n"/>
      <c r="O6" s="15" t="inlineStr">
        <is>
          <t>Animal core</t>
        </is>
      </c>
      <c r="P6" s="15" t="inlineStr">
        <is>
          <t>Altera reference base</t>
        </is>
      </c>
      <c r="Q6" s="42" t="n"/>
      <c r="R6" s="43" t="n">
        <v>186000</v>
      </c>
      <c r="S6" s="44" t="n">
        <v>0.26</v>
      </c>
      <c r="T6" s="15" t="inlineStr">
        <is>
          <t>Retailer file</t>
        </is>
      </c>
      <c r="U6" s="45" t="n">
        <v>20</v>
      </c>
      <c r="V6" s="15" t="inlineStr">
        <is>
          <t>Declared by the retailer, checked</t>
        </is>
      </c>
      <c r="W6" s="46" t="n">
        <v>0</v>
      </c>
      <c r="X6" s="15" t="inlineStr">
        <is>
          <t>Single origin</t>
        </is>
      </c>
      <c r="Y6" s="15" t="inlineStr">
        <is>
          <t>A</t>
        </is>
      </c>
      <c r="Z6" s="47" t="n">
        <v>1</v>
      </c>
      <c r="AA6" s="48">
        <f>IF(H6="yes",R6*N(S6)/1000,0)</f>
        <v/>
      </c>
      <c r="AB6" s="49">
        <f>AA6*N(U6)/100</f>
        <v/>
      </c>
      <c r="AC6" s="49">
        <f>AB6*N(W6)</f>
        <v/>
      </c>
      <c r="AD6" s="49">
        <f>AB6-AC6</f>
        <v/>
      </c>
      <c r="AE6" s="48">
        <f>IF(G6="yes",R6*N(S6)/1000,0)</f>
        <v/>
      </c>
      <c r="AF6" s="48">
        <f>AE6*Z6</f>
        <v/>
      </c>
    </row>
    <row r="7">
      <c r="A7" s="41" t="inlineStr">
        <is>
          <t>3266980891411</t>
        </is>
      </c>
      <c r="B7" s="15" t="inlineStr">
        <is>
          <t>LE GAULOIS FILET POULET 300G</t>
        </is>
      </c>
      <c r="C7" s="15" t="inlineStr">
        <is>
          <t>Filet de poulet, 300 g</t>
        </is>
      </c>
      <c r="D7" s="15" t="inlineStr">
        <is>
          <t>Le Gaulois</t>
        </is>
      </c>
      <c r="E7" s="15" t="inlineStr">
        <is>
          <t>Poultry</t>
        </is>
      </c>
      <c r="F7" s="15" t="inlineStr">
        <is>
          <t>Chicken</t>
        </is>
      </c>
      <c r="G7" s="15" t="inlineStr">
        <is>
          <t>yes</t>
        </is>
      </c>
      <c r="H7" s="15" t="inlineStr">
        <is>
          <t>yes</t>
        </is>
      </c>
      <c r="I7" s="15" t="n"/>
      <c r="J7" s="15" t="inlineStr">
        <is>
          <t>whole</t>
        </is>
      </c>
      <c r="K7" s="15" t="inlineStr">
        <is>
          <t>FG1</t>
        </is>
      </c>
      <c r="L7" s="15" t="inlineStr">
        <is>
          <t>poultry</t>
        </is>
      </c>
      <c r="M7" s="15" t="inlineStr">
        <is>
          <t>animal</t>
        </is>
      </c>
      <c r="N7" s="15" t="n"/>
      <c r="O7" s="15" t="inlineStr">
        <is>
          <t>Animal core</t>
        </is>
      </c>
      <c r="P7" s="15" t="inlineStr">
        <is>
          <t>Altera reference base</t>
        </is>
      </c>
      <c r="Q7" s="42" t="n"/>
      <c r="R7" s="43" t="n">
        <v>142000</v>
      </c>
      <c r="S7" s="44" t="n">
        <v>0.3</v>
      </c>
      <c r="T7" s="15" t="inlineStr">
        <is>
          <t>Retailer file</t>
        </is>
      </c>
      <c r="U7" s="45" t="n">
        <v>23</v>
      </c>
      <c r="V7" s="15" t="inlineStr">
        <is>
          <t>Declared by the retailer, checked</t>
        </is>
      </c>
      <c r="W7" s="46" t="n">
        <v>0</v>
      </c>
      <c r="X7" s="15" t="inlineStr">
        <is>
          <t>Single origin</t>
        </is>
      </c>
      <c r="Y7" s="15" t="inlineStr">
        <is>
          <t>A</t>
        </is>
      </c>
      <c r="Z7" s="47" t="n">
        <v>1</v>
      </c>
      <c r="AA7" s="48">
        <f>IF(H7="yes",R7*N(S7)/1000,0)</f>
        <v/>
      </c>
      <c r="AB7" s="49">
        <f>AA7*N(U7)/100</f>
        <v/>
      </c>
      <c r="AC7" s="49">
        <f>AB7*N(W7)</f>
        <v/>
      </c>
      <c r="AD7" s="49">
        <f>AB7-AC7</f>
        <v/>
      </c>
      <c r="AE7" s="48">
        <f>IF(G7="yes",R7*N(S7)/1000,0)</f>
        <v/>
      </c>
      <c r="AF7" s="48">
        <f>AE7*Z7</f>
        <v/>
      </c>
    </row>
    <row r="8">
      <c r="A8" s="41" t="inlineStr">
        <is>
          <t>3154230809302</t>
        </is>
      </c>
      <c r="B8" s="15" t="inlineStr">
        <is>
          <t>HERTA BON PARIS JAMBON ETOUF X4</t>
        </is>
      </c>
      <c r="C8" s="15" t="inlineStr">
        <is>
          <t>Jambon à l'étouffée Le Bon Paris, ×4</t>
        </is>
      </c>
      <c r="D8" s="15" t="inlineStr">
        <is>
          <t>Herta</t>
        </is>
      </c>
      <c r="E8" s="15" t="inlineStr">
        <is>
          <t>Deli</t>
        </is>
      </c>
      <c r="F8" s="15" t="inlineStr">
        <is>
          <t>Cooked ham</t>
        </is>
      </c>
      <c r="G8" s="15" t="inlineStr">
        <is>
          <t>yes</t>
        </is>
      </c>
      <c r="H8" s="15" t="inlineStr">
        <is>
          <t>yes</t>
        </is>
      </c>
      <c r="I8" s="15" t="n"/>
      <c r="J8" s="15" t="inlineStr">
        <is>
          <t>whole</t>
        </is>
      </c>
      <c r="K8" s="15" t="inlineStr">
        <is>
          <t>FG1</t>
        </is>
      </c>
      <c r="L8" s="15" t="inlineStr">
        <is>
          <t>red meat</t>
        </is>
      </c>
      <c r="M8" s="15" t="inlineStr">
        <is>
          <t>animal</t>
        </is>
      </c>
      <c r="N8" s="15" t="n"/>
      <c r="O8" s="15" t="inlineStr">
        <is>
          <t>Animal core</t>
        </is>
      </c>
      <c r="P8" s="15" t="inlineStr">
        <is>
          <t>Altera reference base</t>
        </is>
      </c>
      <c r="Q8" s="42" t="n"/>
      <c r="R8" s="43" t="n">
        <v>228000</v>
      </c>
      <c r="S8" s="44" t="n">
        <v>0.17</v>
      </c>
      <c r="T8" s="15" t="inlineStr">
        <is>
          <t>Retailer file</t>
        </is>
      </c>
      <c r="U8" s="45" t="n">
        <v>21</v>
      </c>
      <c r="V8" s="15" t="inlineStr">
        <is>
          <t>Altera reference base</t>
        </is>
      </c>
      <c r="W8" s="46" t="n">
        <v>0</v>
      </c>
      <c r="X8" s="15" t="inlineStr">
        <is>
          <t>Single origin</t>
        </is>
      </c>
      <c r="Y8" s="15" t="inlineStr">
        <is>
          <t>A</t>
        </is>
      </c>
      <c r="Z8" s="47" t="n">
        <v>1</v>
      </c>
      <c r="AA8" s="48">
        <f>IF(H8="yes",R8*N(S8)/1000,0)</f>
        <v/>
      </c>
      <c r="AB8" s="49">
        <f>AA8*N(U8)/100</f>
        <v/>
      </c>
      <c r="AC8" s="49">
        <f>AB8*N(W8)</f>
        <v/>
      </c>
      <c r="AD8" s="49">
        <f>AB8-AC8</f>
        <v/>
      </c>
      <c r="AE8" s="48">
        <f>IF(G8="yes",R8*N(S8)/1000,0)</f>
        <v/>
      </c>
      <c r="AF8" s="48">
        <f>AE8*Z8</f>
        <v/>
      </c>
    </row>
    <row r="9">
      <c r="A9" s="41" t="inlineStr">
        <is>
          <t>3019081239237</t>
        </is>
      </c>
      <c r="B9" s="15" t="inlineStr">
        <is>
          <t>PT NAVIRE THON ENTIER NAT 160G</t>
        </is>
      </c>
      <c r="C9" s="15" t="inlineStr">
        <is>
          <t>Thon entier au naturel, 160 g</t>
        </is>
      </c>
      <c r="D9" s="15" t="inlineStr">
        <is>
          <t>Petit Navire</t>
        </is>
      </c>
      <c r="E9" s="15" t="inlineStr">
        <is>
          <t>Grocery</t>
        </is>
      </c>
      <c r="F9" s="15" t="inlineStr">
        <is>
          <t>Canned fish</t>
        </is>
      </c>
      <c r="G9" s="15" t="inlineStr">
        <is>
          <t>yes</t>
        </is>
      </c>
      <c r="H9" s="15" t="inlineStr">
        <is>
          <t>yes</t>
        </is>
      </c>
      <c r="I9" s="15" t="n"/>
      <c r="J9" s="15" t="inlineStr">
        <is>
          <t>whole</t>
        </is>
      </c>
      <c r="K9" s="15" t="inlineStr">
        <is>
          <t>FG1</t>
        </is>
      </c>
      <c r="L9" s="15" t="inlineStr">
        <is>
          <t>fish and shellfish</t>
        </is>
      </c>
      <c r="M9" s="15" t="inlineStr">
        <is>
          <t>animal</t>
        </is>
      </c>
      <c r="N9" s="15" t="n"/>
      <c r="O9" s="15" t="inlineStr">
        <is>
          <t>Animal core</t>
        </is>
      </c>
      <c r="P9" s="15" t="inlineStr">
        <is>
          <t>Language model</t>
        </is>
      </c>
      <c r="Q9" s="42" t="n">
        <v>0.97</v>
      </c>
      <c r="R9" s="43" t="n">
        <v>96000</v>
      </c>
      <c r="S9" s="44" t="n">
        <v>0.16</v>
      </c>
      <c r="T9" s="15" t="inlineStr">
        <is>
          <t>Retailer file</t>
        </is>
      </c>
      <c r="U9" s="45" t="n">
        <v>25</v>
      </c>
      <c r="V9" s="15" t="inlineStr">
        <is>
          <t>Declared by the retailer, checked</t>
        </is>
      </c>
      <c r="W9" s="46" t="n">
        <v>0</v>
      </c>
      <c r="X9" s="15" t="inlineStr">
        <is>
          <t>Single origin</t>
        </is>
      </c>
      <c r="Y9" s="15" t="inlineStr">
        <is>
          <t>A</t>
        </is>
      </c>
      <c r="Z9" s="47" t="n">
        <v>1</v>
      </c>
      <c r="AA9" s="48">
        <f>IF(H9="yes",R9*N(S9)/1000,0)</f>
        <v/>
      </c>
      <c r="AB9" s="49">
        <f>AA9*N(U9)/100</f>
        <v/>
      </c>
      <c r="AC9" s="49">
        <f>AB9*N(W9)</f>
        <v/>
      </c>
      <c r="AD9" s="49">
        <f>AB9-AC9</f>
        <v/>
      </c>
      <c r="AE9" s="48">
        <f>IF(G9="yes",R9*N(S9)/1000,0)</f>
        <v/>
      </c>
      <c r="AF9" s="48">
        <f>AE9*Z9</f>
        <v/>
      </c>
    </row>
    <row r="10">
      <c r="A10" s="41" t="inlineStr">
        <is>
          <t>3251320080617</t>
        </is>
      </c>
      <c r="B10" s="15" t="inlineStr">
        <is>
          <t>LOUE 6 OEUFS FERMIERS LR GROS</t>
        </is>
      </c>
      <c r="C10" s="15" t="inlineStr">
        <is>
          <t>6 œufs fermiers Label Rouge</t>
        </is>
      </c>
      <c r="D10" s="15" t="inlineStr">
        <is>
          <t>Loué</t>
        </is>
      </c>
      <c r="E10" s="15" t="inlineStr">
        <is>
          <t>Dairy</t>
        </is>
      </c>
      <c r="F10" s="15" t="inlineStr">
        <is>
          <t>Eggs</t>
        </is>
      </c>
      <c r="G10" s="15" t="inlineStr">
        <is>
          <t>yes</t>
        </is>
      </c>
      <c r="H10" s="15" t="inlineStr">
        <is>
          <t>yes</t>
        </is>
      </c>
      <c r="I10" s="15" t="n"/>
      <c r="J10" s="15" t="inlineStr">
        <is>
          <t>whole</t>
        </is>
      </c>
      <c r="K10" s="15" t="inlineStr">
        <is>
          <t>FG1</t>
        </is>
      </c>
      <c r="L10" s="15" t="inlineStr">
        <is>
          <t>eggs</t>
        </is>
      </c>
      <c r="M10" s="15" t="inlineStr">
        <is>
          <t>animal</t>
        </is>
      </c>
      <c r="N10" s="15" t="n"/>
      <c r="O10" s="15" t="inlineStr">
        <is>
          <t>Animal core</t>
        </is>
      </c>
      <c r="P10" s="15" t="inlineStr">
        <is>
          <t>Altera reference base</t>
        </is>
      </c>
      <c r="Q10" s="42" t="n"/>
      <c r="R10" s="43" t="n">
        <v>214000</v>
      </c>
      <c r="S10" s="44" t="n">
        <v>0.39</v>
      </c>
      <c r="T10" s="15" t="inlineStr">
        <is>
          <t>Retailer file</t>
        </is>
      </c>
      <c r="U10" s="45" t="n">
        <v>12.7</v>
      </c>
      <c r="V10" s="15" t="inlineStr">
        <is>
          <t>Altera reference base</t>
        </is>
      </c>
      <c r="W10" s="46" t="n">
        <v>0</v>
      </c>
      <c r="X10" s="15" t="inlineStr">
        <is>
          <t>Single origin</t>
        </is>
      </c>
      <c r="Y10" s="15" t="inlineStr">
        <is>
          <t>A</t>
        </is>
      </c>
      <c r="Z10" s="47" t="n">
        <v>1</v>
      </c>
      <c r="AA10" s="48">
        <f>IF(H10="yes",R10*N(S10)/1000,0)</f>
        <v/>
      </c>
      <c r="AB10" s="49">
        <f>AA10*N(U10)/100</f>
        <v/>
      </c>
      <c r="AC10" s="49">
        <f>AB10*N(W10)</f>
        <v/>
      </c>
      <c r="AD10" s="49">
        <f>AB10-AC10</f>
        <v/>
      </c>
      <c r="AE10" s="48">
        <f>IF(G10="yes",R10*N(S10)/1000,0)</f>
        <v/>
      </c>
      <c r="AF10" s="48">
        <f>AE10*Z10</f>
        <v/>
      </c>
    </row>
    <row r="11">
      <c r="A11" s="41" t="inlineStr">
        <is>
          <t>3228021170039</t>
        </is>
      </c>
      <c r="B11" s="15" t="inlineStr">
        <is>
          <t>PRESIDENT CAMEMBERT 250G</t>
        </is>
      </c>
      <c r="C11" s="15" t="inlineStr">
        <is>
          <t>Camembert, 250 g</t>
        </is>
      </c>
      <c r="D11" s="15" t="inlineStr">
        <is>
          <t>Président</t>
        </is>
      </c>
      <c r="E11" s="15" t="inlineStr">
        <is>
          <t>Cheese</t>
        </is>
      </c>
      <c r="F11" s="15" t="inlineStr">
        <is>
          <t>Soft cheese</t>
        </is>
      </c>
      <c r="G11" s="15" t="inlineStr">
        <is>
          <t>yes</t>
        </is>
      </c>
      <c r="H11" s="15" t="inlineStr">
        <is>
          <t>yes</t>
        </is>
      </c>
      <c r="I11" s="15" t="n"/>
      <c r="J11" s="15" t="inlineStr">
        <is>
          <t>whole</t>
        </is>
      </c>
      <c r="K11" s="15" t="inlineStr">
        <is>
          <t>FG2</t>
        </is>
      </c>
      <c r="L11" s="15" t="inlineStr">
        <is>
          <t>dairy</t>
        </is>
      </c>
      <c r="M11" s="15" t="inlineStr">
        <is>
          <t>animal</t>
        </is>
      </c>
      <c r="N11" s="15" t="n"/>
      <c r="O11" s="15" t="inlineStr">
        <is>
          <t>Animal core</t>
        </is>
      </c>
      <c r="P11" s="15" t="inlineStr">
        <is>
          <t>Language model</t>
        </is>
      </c>
      <c r="Q11" s="42" t="n">
        <v>0.97</v>
      </c>
      <c r="R11" s="43" t="n">
        <v>118000</v>
      </c>
      <c r="S11" s="44" t="n">
        <v>0.25</v>
      </c>
      <c r="T11" s="15" t="inlineStr">
        <is>
          <t>Retailer file</t>
        </is>
      </c>
      <c r="U11" s="45" t="n">
        <v>20</v>
      </c>
      <c r="V11" s="15" t="inlineStr">
        <is>
          <t>Declared by the retailer, checked</t>
        </is>
      </c>
      <c r="W11" s="46" t="n">
        <v>0</v>
      </c>
      <c r="X11" s="15" t="inlineStr">
        <is>
          <t>Single origin</t>
        </is>
      </c>
      <c r="Y11" s="15" t="inlineStr">
        <is>
          <t>A</t>
        </is>
      </c>
      <c r="Z11" s="47" t="n">
        <v>10</v>
      </c>
      <c r="AA11" s="48">
        <f>IF(H11="yes",R11*N(S11)/1000,0)</f>
        <v/>
      </c>
      <c r="AB11" s="49">
        <f>AA11*N(U11)/100</f>
        <v/>
      </c>
      <c r="AC11" s="49">
        <f>AB11*N(W11)</f>
        <v/>
      </c>
      <c r="AD11" s="49">
        <f>AB11-AC11</f>
        <v/>
      </c>
      <c r="AE11" s="48">
        <f>IF(G11="yes",R11*N(S11)/1000,0)</f>
        <v/>
      </c>
      <c r="AF11" s="48">
        <f>AE11*Z11</f>
        <v/>
      </c>
    </row>
    <row r="12">
      <c r="A12" s="41" t="inlineStr">
        <is>
          <t>3033491147067</t>
        </is>
      </c>
      <c r="B12" s="15" t="inlineStr">
        <is>
          <t>ACTIVIA NATURE 4X125G</t>
        </is>
      </c>
      <c r="C12" s="15" t="inlineStr">
        <is>
          <t>Activia nature, 4 × 125 g</t>
        </is>
      </c>
      <c r="D12" s="15" t="inlineStr">
        <is>
          <t>Activia</t>
        </is>
      </c>
      <c r="E12" s="15" t="inlineStr">
        <is>
          <t>Dairy</t>
        </is>
      </c>
      <c r="F12" s="15" t="inlineStr">
        <is>
          <t>Yoghurts</t>
        </is>
      </c>
      <c r="G12" s="15" t="inlineStr">
        <is>
          <t>yes</t>
        </is>
      </c>
      <c r="H12" s="15" t="inlineStr">
        <is>
          <t>yes</t>
        </is>
      </c>
      <c r="I12" s="15" t="n"/>
      <c r="J12" s="15" t="inlineStr">
        <is>
          <t>whole</t>
        </is>
      </c>
      <c r="K12" s="15" t="inlineStr">
        <is>
          <t>FG2</t>
        </is>
      </c>
      <c r="L12" s="15" t="inlineStr">
        <is>
          <t>dairy</t>
        </is>
      </c>
      <c r="M12" s="15" t="inlineStr">
        <is>
          <t>animal</t>
        </is>
      </c>
      <c r="N12" s="15" t="n"/>
      <c r="O12" s="15" t="inlineStr">
        <is>
          <t>Animal core</t>
        </is>
      </c>
      <c r="P12" s="15" t="inlineStr">
        <is>
          <t>Altera reference base</t>
        </is>
      </c>
      <c r="Q12" s="42" t="n"/>
      <c r="R12" s="43" t="n">
        <v>164000</v>
      </c>
      <c r="S12" s="44" t="n">
        <v>0.5</v>
      </c>
      <c r="T12" s="15" t="inlineStr">
        <is>
          <t>Retailer file</t>
        </is>
      </c>
      <c r="U12" s="45" t="n">
        <v>3.4</v>
      </c>
      <c r="V12" s="15" t="inlineStr">
        <is>
          <t>Declared by the retailer, checked</t>
        </is>
      </c>
      <c r="W12" s="46" t="n">
        <v>0</v>
      </c>
      <c r="X12" s="15" t="inlineStr">
        <is>
          <t>Single origin</t>
        </is>
      </c>
      <c r="Y12" s="15" t="inlineStr">
        <is>
          <t>A</t>
        </is>
      </c>
      <c r="Z12" s="47" t="n">
        <v>1</v>
      </c>
      <c r="AA12" s="48">
        <f>IF(H12="yes",R12*N(S12)/1000,0)</f>
        <v/>
      </c>
      <c r="AB12" s="49">
        <f>AA12*N(U12)/100</f>
        <v/>
      </c>
      <c r="AC12" s="49">
        <f>AB12*N(W12)</f>
        <v/>
      </c>
      <c r="AD12" s="49">
        <f>AB12-AC12</f>
        <v/>
      </c>
      <c r="AE12" s="48">
        <f>IF(G12="yes",R12*N(S12)/1000,0)</f>
        <v/>
      </c>
      <c r="AF12" s="48">
        <f>AE12*Z12</f>
        <v/>
      </c>
    </row>
    <row r="13">
      <c r="A13" s="41" t="inlineStr">
        <is>
          <t>3428273980046</t>
        </is>
      </c>
      <c r="B13" s="15" t="inlineStr">
        <is>
          <t>LACTEL MATIN LEGER 1/2 ECR 1L</t>
        </is>
      </c>
      <c r="C13" s="15" t="inlineStr">
        <is>
          <t>Lait demi-écrémé Matin Léger, 1 L</t>
        </is>
      </c>
      <c r="D13" s="15" t="inlineStr">
        <is>
          <t>Lactel</t>
        </is>
      </c>
      <c r="E13" s="15" t="inlineStr">
        <is>
          <t>Dairy</t>
        </is>
      </c>
      <c r="F13" s="15" t="inlineStr">
        <is>
          <t>Milk</t>
        </is>
      </c>
      <c r="G13" s="15" t="inlineStr">
        <is>
          <t>yes</t>
        </is>
      </c>
      <c r="H13" s="15" t="inlineStr">
        <is>
          <t>yes</t>
        </is>
      </c>
      <c r="I13" s="15" t="n"/>
      <c r="J13" s="15" t="inlineStr">
        <is>
          <t>whole</t>
        </is>
      </c>
      <c r="K13" s="15" t="inlineStr">
        <is>
          <t>FG2</t>
        </is>
      </c>
      <c r="L13" s="15" t="inlineStr">
        <is>
          <t>dairy</t>
        </is>
      </c>
      <c r="M13" s="15" t="inlineStr">
        <is>
          <t>animal</t>
        </is>
      </c>
      <c r="N13" s="15" t="n"/>
      <c r="O13" s="15" t="inlineStr">
        <is>
          <t>Animal core</t>
        </is>
      </c>
      <c r="P13" s="15" t="inlineStr">
        <is>
          <t>Altera reference base</t>
        </is>
      </c>
      <c r="Q13" s="42" t="n"/>
      <c r="R13" s="43" t="n">
        <v>612000</v>
      </c>
      <c r="S13" s="44" t="n">
        <v>1</v>
      </c>
      <c r="T13" s="15" t="inlineStr">
        <is>
          <t>Retailer file</t>
        </is>
      </c>
      <c r="U13" s="45" t="n">
        <v>3.3</v>
      </c>
      <c r="V13" s="15" t="inlineStr">
        <is>
          <t>Declared by the retailer, checked</t>
        </is>
      </c>
      <c r="W13" s="46" t="n">
        <v>0</v>
      </c>
      <c r="X13" s="15" t="inlineStr">
        <is>
          <t>Single origin</t>
        </is>
      </c>
      <c r="Y13" s="15" t="inlineStr">
        <is>
          <t>A</t>
        </is>
      </c>
      <c r="Z13" s="47" t="n">
        <v>1</v>
      </c>
      <c r="AA13" s="48">
        <f>IF(H13="yes",R13*N(S13)/1000,0)</f>
        <v/>
      </c>
      <c r="AB13" s="49">
        <f>AA13*N(U13)/100</f>
        <v/>
      </c>
      <c r="AC13" s="49">
        <f>AB13*N(W13)</f>
        <v/>
      </c>
      <c r="AD13" s="49">
        <f>AB13-AC13</f>
        <v/>
      </c>
      <c r="AE13" s="48">
        <f>IF(G13="yes",R13*N(S13)/1000,0)</f>
        <v/>
      </c>
      <c r="AF13" s="48">
        <f>AE13*Z13</f>
        <v/>
      </c>
    </row>
    <row r="14">
      <c r="A14" s="41" t="inlineStr">
        <is>
          <t>3412290015980</t>
        </is>
      </c>
      <c r="B14" s="15" t="inlineStr">
        <is>
          <t>PAYSAN BRETON BEURRE DOUX 250G</t>
        </is>
      </c>
      <c r="C14" s="15" t="inlineStr">
        <is>
          <t>Beurre doux, 250 g</t>
        </is>
      </c>
      <c r="D14" s="15" t="inlineStr">
        <is>
          <t>Paysan Breton</t>
        </is>
      </c>
      <c r="E14" s="15" t="inlineStr">
        <is>
          <t>Dairy</t>
        </is>
      </c>
      <c r="F14" s="15" t="inlineStr">
        <is>
          <t>Butter</t>
        </is>
      </c>
      <c r="G14" s="15" t="inlineStr">
        <is>
          <t>yes</t>
        </is>
      </c>
      <c r="H14" s="15" t="inlineStr">
        <is>
          <t>yes</t>
        </is>
      </c>
      <c r="I14" s="15" t="n"/>
      <c r="J14" s="15" t="inlineStr">
        <is>
          <t>whole</t>
        </is>
      </c>
      <c r="K14" s="15" t="inlineStr">
        <is>
          <t>FG3</t>
        </is>
      </c>
      <c r="L14" s="15" t="inlineStr">
        <is>
          <t>animal fat</t>
        </is>
      </c>
      <c r="M14" s="15" t="inlineStr">
        <is>
          <t>animal</t>
        </is>
      </c>
      <c r="N14" s="15" t="n"/>
      <c r="O14" s="15" t="inlineStr">
        <is>
          <t>Animal core</t>
        </is>
      </c>
      <c r="P14" s="15" t="inlineStr">
        <is>
          <t>Altera reference base</t>
        </is>
      </c>
      <c r="Q14" s="42" t="n"/>
      <c r="R14" s="43" t="n">
        <v>131000</v>
      </c>
      <c r="S14" s="44" t="n">
        <v>0.25</v>
      </c>
      <c r="T14" s="15" t="inlineStr">
        <is>
          <t>Retailer file</t>
        </is>
      </c>
      <c r="U14" s="45" t="n">
        <v>0.8</v>
      </c>
      <c r="V14" s="15" t="inlineStr">
        <is>
          <t>Declared by the retailer, checked</t>
        </is>
      </c>
      <c r="W14" s="46" t="n">
        <v>0</v>
      </c>
      <c r="X14" s="15" t="inlineStr">
        <is>
          <t>Single origin</t>
        </is>
      </c>
      <c r="Y14" s="15" t="inlineStr">
        <is>
          <t>A</t>
        </is>
      </c>
      <c r="Z14" s="47" t="n">
        <v>1</v>
      </c>
      <c r="AA14" s="48">
        <f>IF(H14="yes",R14*N(S14)/1000,0)</f>
        <v/>
      </c>
      <c r="AB14" s="49">
        <f>AA14*N(U14)/100</f>
        <v/>
      </c>
      <c r="AC14" s="49">
        <f>AB14*N(W14)</f>
        <v/>
      </c>
      <c r="AD14" s="49">
        <f>AB14-AC14</f>
        <v/>
      </c>
      <c r="AE14" s="48">
        <f>IF(G14="yes",R14*N(S14)/1000,0)</f>
        <v/>
      </c>
      <c r="AF14" s="48">
        <f>AE14*Z14</f>
        <v/>
      </c>
    </row>
    <row r="15">
      <c r="A15" s="41" t="inlineStr">
        <is>
          <t>3265471024086</t>
        </is>
      </c>
      <c r="B15" s="15" t="inlineStr">
        <is>
          <t>LESIEUR COEUR TOURNESOL 1L</t>
        </is>
      </c>
      <c r="C15" s="15" t="inlineStr">
        <is>
          <t>Huile Cœur de Tournesol, 1 L</t>
        </is>
      </c>
      <c r="D15" s="15" t="inlineStr">
        <is>
          <t>Lesieur</t>
        </is>
      </c>
      <c r="E15" s="15" t="inlineStr">
        <is>
          <t>Grocery</t>
        </is>
      </c>
      <c r="F15" s="15" t="inlineStr">
        <is>
          <t>Oils</t>
        </is>
      </c>
      <c r="G15" s="15" t="inlineStr">
        <is>
          <t>yes</t>
        </is>
      </c>
      <c r="H15" s="15" t="inlineStr">
        <is>
          <t>yes</t>
        </is>
      </c>
      <c r="I15" s="15" t="n"/>
      <c r="J15" s="15" t="inlineStr">
        <is>
          <t>whole</t>
        </is>
      </c>
      <c r="K15" s="15" t="inlineStr">
        <is>
          <t>FG3</t>
        </is>
      </c>
      <c r="L15" s="15" t="inlineStr">
        <is>
          <t>plant fat</t>
        </is>
      </c>
      <c r="M15" s="15" t="inlineStr">
        <is>
          <t>plant</t>
        </is>
      </c>
      <c r="N15" s="15" t="n"/>
      <c r="O15" s="15" t="inlineStr">
        <is>
          <t>Plant-based non-core</t>
        </is>
      </c>
      <c r="P15" s="15" t="inlineStr">
        <is>
          <t>Altera reference base</t>
        </is>
      </c>
      <c r="Q15" s="42" t="n"/>
      <c r="R15" s="43" t="n">
        <v>58000</v>
      </c>
      <c r="S15" s="44" t="n">
        <v>1</v>
      </c>
      <c r="T15" s="15" t="inlineStr">
        <is>
          <t>Retailer file</t>
        </is>
      </c>
      <c r="U15" s="45" t="n">
        <v>0</v>
      </c>
      <c r="V15" s="15" t="inlineStr">
        <is>
          <t>Declared by the retailer, checked</t>
        </is>
      </c>
      <c r="W15" s="46" t="n">
        <v>1</v>
      </c>
      <c r="X15" s="15" t="inlineStr">
        <is>
          <t>No protein</t>
        </is>
      </c>
      <c r="Y15" s="15" t="n"/>
      <c r="Z15" s="47" t="n">
        <v>1</v>
      </c>
      <c r="AA15" s="48">
        <f>IF(H15="yes",R15*N(S15)/1000,0)</f>
        <v/>
      </c>
      <c r="AB15" s="49">
        <f>AA15*N(U15)/100</f>
        <v/>
      </c>
      <c r="AC15" s="49">
        <f>AB15*N(W15)</f>
        <v/>
      </c>
      <c r="AD15" s="49">
        <f>AB15-AC15</f>
        <v/>
      </c>
      <c r="AE15" s="48">
        <f>IF(G15="yes",R15*N(S15)/1000,0)</f>
        <v/>
      </c>
      <c r="AF15" s="48">
        <f>AE15*Z15</f>
        <v/>
      </c>
    </row>
    <row r="16">
      <c r="A16" s="41" t="inlineStr">
        <is>
          <t>3083681085891</t>
        </is>
      </c>
      <c r="B16" s="15" t="inlineStr">
        <is>
          <t>BONDUELLE LENTILLES VAP 265G</t>
        </is>
      </c>
      <c r="C16" s="15" t="inlineStr">
        <is>
          <t>Lentilles vapeur, 265 g</t>
        </is>
      </c>
      <c r="D16" s="15" t="inlineStr">
        <is>
          <t>Bonduelle</t>
        </is>
      </c>
      <c r="E16" s="15" t="inlineStr">
        <is>
          <t>Grocery</t>
        </is>
      </c>
      <c r="F16" s="15" t="inlineStr">
        <is>
          <t>Canned pulses</t>
        </is>
      </c>
      <c r="G16" s="15" t="inlineStr">
        <is>
          <t>yes</t>
        </is>
      </c>
      <c r="H16" s="15" t="inlineStr">
        <is>
          <t>yes</t>
        </is>
      </c>
      <c r="I16" s="15" t="n"/>
      <c r="J16" s="15" t="inlineStr">
        <is>
          <t>whole</t>
        </is>
      </c>
      <c r="K16" s="15" t="inlineStr">
        <is>
          <t>FG1</t>
        </is>
      </c>
      <c r="L16" s="15" t="inlineStr">
        <is>
          <t>pulses</t>
        </is>
      </c>
      <c r="M16" s="15" t="inlineStr">
        <is>
          <t>plant</t>
        </is>
      </c>
      <c r="N16" s="15" t="n"/>
      <c r="O16" s="15" t="inlineStr">
        <is>
          <t>Plant-based core</t>
        </is>
      </c>
      <c r="P16" s="15" t="inlineStr">
        <is>
          <t>Language model</t>
        </is>
      </c>
      <c r="Q16" s="42" t="n">
        <v>0.96</v>
      </c>
      <c r="R16" s="43" t="n">
        <v>47000</v>
      </c>
      <c r="S16" s="44" t="n">
        <v>0.265</v>
      </c>
      <c r="T16" s="15" t="inlineStr">
        <is>
          <t>Retailer file</t>
        </is>
      </c>
      <c r="U16" s="45" t="n">
        <v>8.699999999999999</v>
      </c>
      <c r="V16" s="15" t="inlineStr">
        <is>
          <t>Open Food Facts</t>
        </is>
      </c>
      <c r="W16" s="46" t="n">
        <v>1</v>
      </c>
      <c r="X16" s="15" t="inlineStr">
        <is>
          <t>Single origin</t>
        </is>
      </c>
      <c r="Y16" s="15" t="inlineStr">
        <is>
          <t>A</t>
        </is>
      </c>
      <c r="Z16" s="47" t="n">
        <v>1</v>
      </c>
      <c r="AA16" s="48">
        <f>IF(H16="yes",R16*N(S16)/1000,0)</f>
        <v/>
      </c>
      <c r="AB16" s="49">
        <f>AA16*N(U16)/100</f>
        <v/>
      </c>
      <c r="AC16" s="49">
        <f>AB16*N(W16)</f>
        <v/>
      </c>
      <c r="AD16" s="49">
        <f>AB16-AC16</f>
        <v/>
      </c>
      <c r="AE16" s="48">
        <f>IF(G16="yes",R16*N(S16)/1000,0)</f>
        <v/>
      </c>
      <c r="AF16" s="48">
        <f>AE16*Z16</f>
        <v/>
      </c>
    </row>
    <row r="17">
      <c r="A17" s="41" t="inlineStr">
        <is>
          <t>7613037398083</t>
        </is>
      </c>
      <c r="B17" s="15" t="inlineStr">
        <is>
          <t>GARDEN GOURMET HACHE SOJA 200G</t>
        </is>
      </c>
      <c r="C17" s="15" t="inlineStr">
        <is>
          <t>Sensational haché cru soja, 200 g</t>
        </is>
      </c>
      <c r="D17" s="15" t="inlineStr">
        <is>
          <t>Garden Gourmet</t>
        </is>
      </c>
      <c r="E17" s="15" t="inlineStr">
        <is>
          <t>Plant-based</t>
        </is>
      </c>
      <c r="F17" s="15" t="inlineStr">
        <is>
          <t>Meat alternatives</t>
        </is>
      </c>
      <c r="G17" s="15" t="inlineStr">
        <is>
          <t>yes</t>
        </is>
      </c>
      <c r="H17" s="15" t="inlineStr">
        <is>
          <t>yes</t>
        </is>
      </c>
      <c r="I17" s="15" t="n"/>
      <c r="J17" s="15" t="inlineStr">
        <is>
          <t>whole</t>
        </is>
      </c>
      <c r="K17" s="15" t="inlineStr">
        <is>
          <t>FG1</t>
        </is>
      </c>
      <c r="L17" s="15" t="inlineStr">
        <is>
          <t>meat alternatives</t>
        </is>
      </c>
      <c r="M17" s="15" t="inlineStr">
        <is>
          <t>plant</t>
        </is>
      </c>
      <c r="N17" s="15" t="n"/>
      <c r="O17" s="15" t="inlineStr">
        <is>
          <t>Plant-based core</t>
        </is>
      </c>
      <c r="P17" s="15" t="inlineStr">
        <is>
          <t>Language model</t>
        </is>
      </c>
      <c r="Q17" s="42" t="n">
        <v>0.98</v>
      </c>
      <c r="R17" s="43" t="n">
        <v>24000</v>
      </c>
      <c r="S17" s="44" t="n">
        <v>0.2</v>
      </c>
      <c r="T17" s="15" t="inlineStr">
        <is>
          <t>Retailer file</t>
        </is>
      </c>
      <c r="U17" s="45" t="n">
        <v>15.7</v>
      </c>
      <c r="V17" s="15" t="inlineStr">
        <is>
          <t>Declared by the retailer, checked</t>
        </is>
      </c>
      <c r="W17" s="46" t="n">
        <v>1</v>
      </c>
      <c r="X17" s="15" t="inlineStr">
        <is>
          <t>Single origin</t>
        </is>
      </c>
      <c r="Y17" s="15" t="inlineStr">
        <is>
          <t>A</t>
        </is>
      </c>
      <c r="Z17" s="47" t="n">
        <v>1</v>
      </c>
      <c r="AA17" s="48">
        <f>IF(H17="yes",R17*N(S17)/1000,0)</f>
        <v/>
      </c>
      <c r="AB17" s="49">
        <f>AA17*N(U17)/100</f>
        <v/>
      </c>
      <c r="AC17" s="49">
        <f>AB17*N(W17)</f>
        <v/>
      </c>
      <c r="AD17" s="49">
        <f>AB17-AC17</f>
        <v/>
      </c>
      <c r="AE17" s="48">
        <f>IF(G17="yes",R17*N(S17)/1000,0)</f>
        <v/>
      </c>
      <c r="AF17" s="48">
        <f>AE17*Z17</f>
        <v/>
      </c>
    </row>
    <row r="18">
      <c r="A18" s="41" t="inlineStr">
        <is>
          <t>4012359144003</t>
        </is>
      </c>
      <c r="B18" s="15" t="inlineStr">
        <is>
          <t>TAIFUN FILETS TOFU JAPON 160G</t>
        </is>
      </c>
      <c r="C18" s="15" t="inlineStr">
        <is>
          <t>Filets de tofu à la japonaise, 160 g</t>
        </is>
      </c>
      <c r="D18" s="15" t="inlineStr">
        <is>
          <t>Taifun</t>
        </is>
      </c>
      <c r="E18" s="15" t="inlineStr">
        <is>
          <t>Plant-based</t>
        </is>
      </c>
      <c r="F18" s="15" t="inlineStr">
        <is>
          <t>Tofu</t>
        </is>
      </c>
      <c r="G18" s="15" t="inlineStr">
        <is>
          <t>yes</t>
        </is>
      </c>
      <c r="H18" s="15" t="inlineStr">
        <is>
          <t>yes</t>
        </is>
      </c>
      <c r="I18" s="15" t="n"/>
      <c r="J18" s="15" t="inlineStr">
        <is>
          <t>whole</t>
        </is>
      </c>
      <c r="K18" s="15" t="inlineStr">
        <is>
          <t>FG1</t>
        </is>
      </c>
      <c r="L18" s="15" t="inlineStr">
        <is>
          <t>tofu, tempeh, seitan</t>
        </is>
      </c>
      <c r="M18" s="15" t="inlineStr">
        <is>
          <t>plant</t>
        </is>
      </c>
      <c r="N18" s="15" t="n"/>
      <c r="O18" s="15" t="inlineStr">
        <is>
          <t>Plant-based core</t>
        </is>
      </c>
      <c r="P18" s="15" t="inlineStr">
        <is>
          <t>Altera reference base</t>
        </is>
      </c>
      <c r="Q18" s="42" t="n"/>
      <c r="R18" s="43" t="n">
        <v>9800</v>
      </c>
      <c r="S18" s="44" t="n">
        <v>0.16</v>
      </c>
      <c r="T18" s="15" t="inlineStr">
        <is>
          <t>Retailer file</t>
        </is>
      </c>
      <c r="U18" s="45" t="n">
        <v>19</v>
      </c>
      <c r="V18" s="15" t="inlineStr">
        <is>
          <t>Altera reference base</t>
        </is>
      </c>
      <c r="W18" s="46" t="n">
        <v>1</v>
      </c>
      <c r="X18" s="15" t="inlineStr">
        <is>
          <t>Single origin</t>
        </is>
      </c>
      <c r="Y18" s="15" t="inlineStr">
        <is>
          <t>A</t>
        </is>
      </c>
      <c r="Z18" s="47" t="n">
        <v>1</v>
      </c>
      <c r="AA18" s="48">
        <f>IF(H18="yes",R18*N(S18)/1000,0)</f>
        <v/>
      </c>
      <c r="AB18" s="49">
        <f>AA18*N(U18)/100</f>
        <v/>
      </c>
      <c r="AC18" s="49">
        <f>AB18*N(W18)</f>
        <v/>
      </c>
      <c r="AD18" s="49">
        <f>AB18-AC18</f>
        <v/>
      </c>
      <c r="AE18" s="48">
        <f>IF(G18="yes",R18*N(S18)/1000,0)</f>
        <v/>
      </c>
      <c r="AF18" s="48">
        <f>AE18*Z18</f>
        <v/>
      </c>
    </row>
    <row r="19">
      <c r="A19" s="41" t="inlineStr">
        <is>
          <t>4008258074008</t>
        </is>
      </c>
      <c r="B19" s="15" t="inlineStr">
        <is>
          <t>SEEBERGER AMANDES GRILL 150G</t>
        </is>
      </c>
      <c r="C19" s="15" t="inlineStr">
        <is>
          <t>Amandes grillées, 150 g</t>
        </is>
      </c>
      <c r="D19" s="15" t="inlineStr">
        <is>
          <t>Seeberger</t>
        </is>
      </c>
      <c r="E19" s="15" t="inlineStr">
        <is>
          <t>Grocery</t>
        </is>
      </c>
      <c r="F19" s="15" t="inlineStr">
        <is>
          <t>Nuts and dried fruit</t>
        </is>
      </c>
      <c r="G19" s="15" t="inlineStr">
        <is>
          <t>yes</t>
        </is>
      </c>
      <c r="H19" s="15" t="inlineStr">
        <is>
          <t>yes</t>
        </is>
      </c>
      <c r="I19" s="15" t="n"/>
      <c r="J19" s="15" t="inlineStr">
        <is>
          <t>whole</t>
        </is>
      </c>
      <c r="K19" s="15" t="inlineStr">
        <is>
          <t>FG1</t>
        </is>
      </c>
      <c r="L19" s="15" t="inlineStr">
        <is>
          <t>nuts</t>
        </is>
      </c>
      <c r="M19" s="15" t="inlineStr">
        <is>
          <t>plant</t>
        </is>
      </c>
      <c r="N19" s="15" t="n"/>
      <c r="O19" s="15" t="inlineStr">
        <is>
          <t>Plant-based core</t>
        </is>
      </c>
      <c r="P19" s="15" t="inlineStr">
        <is>
          <t>Language model</t>
        </is>
      </c>
      <c r="Q19" s="42" t="n">
        <v>0.97</v>
      </c>
      <c r="R19" s="43" t="n">
        <v>18500</v>
      </c>
      <c r="S19" s="44" t="n">
        <v>0.15</v>
      </c>
      <c r="T19" s="15" t="inlineStr">
        <is>
          <t>Retailer file</t>
        </is>
      </c>
      <c r="U19" s="45" t="n">
        <v>26</v>
      </c>
      <c r="V19" s="15" t="inlineStr">
        <is>
          <t>Open Food Facts</t>
        </is>
      </c>
      <c r="W19" s="46" t="n">
        <v>1</v>
      </c>
      <c r="X19" s="15" t="inlineStr">
        <is>
          <t>Single origin</t>
        </is>
      </c>
      <c r="Y19" s="15" t="inlineStr">
        <is>
          <t>A</t>
        </is>
      </c>
      <c r="Z19" s="47" t="n">
        <v>1</v>
      </c>
      <c r="AA19" s="48">
        <f>IF(H19="yes",R19*N(S19)/1000,0)</f>
        <v/>
      </c>
      <c r="AB19" s="49">
        <f>AA19*N(U19)/100</f>
        <v/>
      </c>
      <c r="AC19" s="49">
        <f>AB19*N(W19)</f>
        <v/>
      </c>
      <c r="AD19" s="49">
        <f>AB19-AC19</f>
        <v/>
      </c>
      <c r="AE19" s="48">
        <f>IF(G19="yes",R19*N(S19)/1000,0)</f>
        <v/>
      </c>
      <c r="AF19" s="48">
        <f>AE19*Z19</f>
        <v/>
      </c>
    </row>
    <row r="20">
      <c r="A20" s="41" t="inlineStr">
        <is>
          <t>5411188079996</t>
        </is>
      </c>
      <c r="B20" s="15" t="inlineStr">
        <is>
          <t>ALPRO SOYA S/SUCRE 1L</t>
        </is>
      </c>
      <c r="C20" s="15" t="inlineStr">
        <is>
          <t>Boisson soja sans sucres, 1 L</t>
        </is>
      </c>
      <c r="D20" s="15" t="inlineStr">
        <is>
          <t>Alpro</t>
        </is>
      </c>
      <c r="E20" s="15" t="inlineStr">
        <is>
          <t>Plant-based</t>
        </is>
      </c>
      <c r="F20" s="15" t="inlineStr">
        <is>
          <t>Plant drinks</t>
        </is>
      </c>
      <c r="G20" s="15" t="inlineStr">
        <is>
          <t>yes</t>
        </is>
      </c>
      <c r="H20" s="15" t="inlineStr">
        <is>
          <t>yes</t>
        </is>
      </c>
      <c r="I20" s="15" t="n"/>
      <c r="J20" s="15" t="inlineStr">
        <is>
          <t>whole</t>
        </is>
      </c>
      <c r="K20" s="15" t="inlineStr">
        <is>
          <t>FG2</t>
        </is>
      </c>
      <c r="L20" s="15" t="inlineStr">
        <is>
          <t>dairy alternatives</t>
        </is>
      </c>
      <c r="M20" s="15" t="inlineStr">
        <is>
          <t>plant</t>
        </is>
      </c>
      <c r="N20" s="15" t="n"/>
      <c r="O20" s="15" t="inlineStr">
        <is>
          <t>Plant-based core</t>
        </is>
      </c>
      <c r="P20" s="15" t="inlineStr">
        <is>
          <t>Altera reference base</t>
        </is>
      </c>
      <c r="Q20" s="42" t="n"/>
      <c r="R20" s="43" t="n">
        <v>61000</v>
      </c>
      <c r="S20" s="44" t="n">
        <v>1</v>
      </c>
      <c r="T20" s="15" t="inlineStr">
        <is>
          <t>Retailer file</t>
        </is>
      </c>
      <c r="U20" s="45" t="n">
        <v>3.3</v>
      </c>
      <c r="V20" s="15" t="inlineStr">
        <is>
          <t>Declared by the retailer, checked</t>
        </is>
      </c>
      <c r="W20" s="46" t="n">
        <v>1</v>
      </c>
      <c r="X20" s="15" t="inlineStr">
        <is>
          <t>Single origin</t>
        </is>
      </c>
      <c r="Y20" s="15" t="inlineStr">
        <is>
          <t>A</t>
        </is>
      </c>
      <c r="Z20" s="47" t="n">
        <v>1</v>
      </c>
      <c r="AA20" s="48">
        <f>IF(H20="yes",R20*N(S20)/1000,0)</f>
        <v/>
      </c>
      <c r="AB20" s="49">
        <f>AA20*N(U20)/100</f>
        <v/>
      </c>
      <c r="AC20" s="49">
        <f>AB20*N(W20)</f>
        <v/>
      </c>
      <c r="AD20" s="49">
        <f>AB20-AC20</f>
        <v/>
      </c>
      <c r="AE20" s="48">
        <f>IF(G20="yes",R20*N(S20)/1000,0)</f>
        <v/>
      </c>
      <c r="AF20" s="48">
        <f>AE20*Z20</f>
        <v/>
      </c>
    </row>
    <row r="21">
      <c r="A21" s="41" t="inlineStr">
        <is>
          <t>7394376616228</t>
        </is>
      </c>
      <c r="B21" s="15" t="inlineStr">
        <is>
          <t>OATLY BARISTA AVOINE 1L</t>
        </is>
      </c>
      <c r="C21" s="15" t="inlineStr">
        <is>
          <t>Boisson avoine Barista, 1 L</t>
        </is>
      </c>
      <c r="D21" s="15" t="inlineStr">
        <is>
          <t>Oatly</t>
        </is>
      </c>
      <c r="E21" s="15" t="inlineStr">
        <is>
          <t>Plant-based</t>
        </is>
      </c>
      <c r="F21" s="15" t="inlineStr">
        <is>
          <t>Plant drinks</t>
        </is>
      </c>
      <c r="G21" s="15" t="inlineStr">
        <is>
          <t>yes</t>
        </is>
      </c>
      <c r="H21" s="15" t="inlineStr">
        <is>
          <t>yes</t>
        </is>
      </c>
      <c r="I21" s="15" t="n"/>
      <c r="J21" s="15" t="inlineStr">
        <is>
          <t>whole</t>
        </is>
      </c>
      <c r="K21" s="15" t="inlineStr">
        <is>
          <t>FG2</t>
        </is>
      </c>
      <c r="L21" s="15" t="inlineStr">
        <is>
          <t>dairy alternatives</t>
        </is>
      </c>
      <c r="M21" s="15" t="inlineStr">
        <is>
          <t>plant</t>
        </is>
      </c>
      <c r="N21" s="15" t="n"/>
      <c r="O21" s="15" t="inlineStr">
        <is>
          <t>Plant-based core</t>
        </is>
      </c>
      <c r="P21" s="15" t="inlineStr">
        <is>
          <t>Language model</t>
        </is>
      </c>
      <c r="Q21" s="42" t="n">
        <v>0.95</v>
      </c>
      <c r="R21" s="43" t="n">
        <v>52000</v>
      </c>
      <c r="S21" s="44" t="n">
        <v>1</v>
      </c>
      <c r="T21" s="15" t="inlineStr">
        <is>
          <t>Retailer file</t>
        </is>
      </c>
      <c r="U21" s="45" t="n">
        <v>1.1</v>
      </c>
      <c r="V21" s="15" t="inlineStr">
        <is>
          <t>Declared by the retailer, checked</t>
        </is>
      </c>
      <c r="W21" s="46" t="n">
        <v>1</v>
      </c>
      <c r="X21" s="15" t="inlineStr">
        <is>
          <t>Single origin</t>
        </is>
      </c>
      <c r="Y21" s="15" t="inlineStr">
        <is>
          <t>A</t>
        </is>
      </c>
      <c r="Z21" s="47" t="n">
        <v>1</v>
      </c>
      <c r="AA21" s="48">
        <f>IF(H21="yes",R21*N(S21)/1000,0)</f>
        <v/>
      </c>
      <c r="AB21" s="49">
        <f>AA21*N(U21)/100</f>
        <v/>
      </c>
      <c r="AC21" s="49">
        <f>AB21*N(W21)</f>
        <v/>
      </c>
      <c r="AD21" s="49">
        <f>AB21-AC21</f>
        <v/>
      </c>
      <c r="AE21" s="48">
        <f>IF(G21="yes",R21*N(S21)/1000,0)</f>
        <v/>
      </c>
      <c r="AF21" s="48">
        <f>AE21*Z21</f>
        <v/>
      </c>
    </row>
    <row r="22">
      <c r="A22" s="41" t="inlineStr">
        <is>
          <t>3017800078662</t>
        </is>
      </c>
      <c r="B22" s="15" t="inlineStr">
        <is>
          <t>D AUCY PETITS POIS XFINS 280G</t>
        </is>
      </c>
      <c r="C22" s="15" t="inlineStr">
        <is>
          <t>Petits pois extra fins, 280 g</t>
        </is>
      </c>
      <c r="D22" s="15" t="inlineStr">
        <is>
          <t>D'aucy</t>
        </is>
      </c>
      <c r="E22" s="15" t="inlineStr">
        <is>
          <t>Grocery</t>
        </is>
      </c>
      <c r="F22" s="15" t="inlineStr">
        <is>
          <t>Canned vegetables</t>
        </is>
      </c>
      <c r="G22" s="15" t="inlineStr">
        <is>
          <t>yes</t>
        </is>
      </c>
      <c r="H22" s="15" t="inlineStr">
        <is>
          <t>yes</t>
        </is>
      </c>
      <c r="I22" s="15" t="n"/>
      <c r="J22" s="15" t="inlineStr">
        <is>
          <t>whole</t>
        </is>
      </c>
      <c r="K22" s="15" t="inlineStr">
        <is>
          <t>FG4</t>
        </is>
      </c>
      <c r="L22" s="15" t="n"/>
      <c r="M22" s="15" t="inlineStr">
        <is>
          <t>plant</t>
        </is>
      </c>
      <c r="N22" s="15" t="n"/>
      <c r="O22" s="15" t="inlineStr">
        <is>
          <t>Plant-based non-core</t>
        </is>
      </c>
      <c r="P22" s="15" t="inlineStr">
        <is>
          <t>Language model</t>
        </is>
      </c>
      <c r="Q22" s="42" t="n">
        <v>0.93</v>
      </c>
      <c r="R22" s="43" t="n">
        <v>73000</v>
      </c>
      <c r="S22" s="44" t="n">
        <v>0.28</v>
      </c>
      <c r="T22" s="15" t="inlineStr">
        <is>
          <t>Retailer file</t>
        </is>
      </c>
      <c r="U22" s="45" t="n">
        <v>5</v>
      </c>
      <c r="V22" s="15" t="inlineStr">
        <is>
          <t>CIQUAL</t>
        </is>
      </c>
      <c r="W22" s="46" t="n">
        <v>1</v>
      </c>
      <c r="X22" s="15" t="inlineStr">
        <is>
          <t>Single origin</t>
        </is>
      </c>
      <c r="Y22" s="15" t="inlineStr">
        <is>
          <t>A</t>
        </is>
      </c>
      <c r="Z22" s="47" t="n">
        <v>1</v>
      </c>
      <c r="AA22" s="48">
        <f>IF(H22="yes",R22*N(S22)/1000,0)</f>
        <v/>
      </c>
      <c r="AB22" s="49">
        <f>AA22*N(U22)/100</f>
        <v/>
      </c>
      <c r="AC22" s="49">
        <f>AB22*N(W22)</f>
        <v/>
      </c>
      <c r="AD22" s="49">
        <f>AB22-AC22</f>
        <v/>
      </c>
      <c r="AE22" s="48">
        <f>IF(G22="yes",R22*N(S22)/1000,0)</f>
        <v/>
      </c>
      <c r="AF22" s="48">
        <f>AE22*Z22</f>
        <v/>
      </c>
    </row>
    <row r="23">
      <c r="A23" s="41" t="inlineStr">
        <is>
          <t>3608580789758</t>
        </is>
      </c>
      <c r="B23" s="15" t="inlineStr">
        <is>
          <t>ANDROS COMPOTE POMME 730G</t>
        </is>
      </c>
      <c r="C23" s="15" t="inlineStr">
        <is>
          <t>Compote pomme nature, 730 g</t>
        </is>
      </c>
      <c r="D23" s="15" t="inlineStr">
        <is>
          <t>Andros</t>
        </is>
      </c>
      <c r="E23" s="15" t="inlineStr">
        <is>
          <t>Grocery</t>
        </is>
      </c>
      <c r="F23" s="15" t="inlineStr">
        <is>
          <t>Fruit desserts</t>
        </is>
      </c>
      <c r="G23" s="15" t="inlineStr">
        <is>
          <t>yes</t>
        </is>
      </c>
      <c r="H23" s="15" t="inlineStr">
        <is>
          <t>yes</t>
        </is>
      </c>
      <c r="I23" s="15" t="n"/>
      <c r="J23" s="15" t="inlineStr">
        <is>
          <t>whole</t>
        </is>
      </c>
      <c r="K23" s="15" t="inlineStr">
        <is>
          <t>FG4</t>
        </is>
      </c>
      <c r="L23" s="15" t="n"/>
      <c r="M23" s="15" t="inlineStr">
        <is>
          <t>plant</t>
        </is>
      </c>
      <c r="N23" s="15" t="n"/>
      <c r="O23" s="15" t="inlineStr">
        <is>
          <t>Plant-based non-core</t>
        </is>
      </c>
      <c r="P23" s="15" t="inlineStr">
        <is>
          <t>Language model</t>
        </is>
      </c>
      <c r="Q23" s="42" t="n">
        <v>0.91</v>
      </c>
      <c r="R23" s="43" t="n">
        <v>88000</v>
      </c>
      <c r="S23" s="44" t="n">
        <v>0.73</v>
      </c>
      <c r="T23" s="15" t="inlineStr">
        <is>
          <t>Retailer file</t>
        </is>
      </c>
      <c r="U23" s="45" t="n">
        <v>0.4</v>
      </c>
      <c r="V23" s="15" t="inlineStr">
        <is>
          <t>Median of the segment</t>
        </is>
      </c>
      <c r="W23" s="46" t="n">
        <v>1</v>
      </c>
      <c r="X23" s="15" t="inlineStr">
        <is>
          <t>Single origin</t>
        </is>
      </c>
      <c r="Y23" s="15" t="inlineStr">
        <is>
          <t>A</t>
        </is>
      </c>
      <c r="Z23" s="47" t="n">
        <v>1</v>
      </c>
      <c r="AA23" s="48">
        <f>IF(H23="yes",R23*N(S23)/1000,0)</f>
        <v/>
      </c>
      <c r="AB23" s="49">
        <f>AA23*N(U23)/100</f>
        <v/>
      </c>
      <c r="AC23" s="49">
        <f>AB23*N(W23)</f>
        <v/>
      </c>
      <c r="AD23" s="49">
        <f>AB23-AC23</f>
        <v/>
      </c>
      <c r="AE23" s="48">
        <f>IF(G23="yes",R23*N(S23)/1000,0)</f>
        <v/>
      </c>
      <c r="AF23" s="48">
        <f>AE23*Z23</f>
        <v/>
      </c>
    </row>
    <row r="24">
      <c r="A24" s="41" t="inlineStr">
        <is>
          <t>8076800195057</t>
        </is>
      </c>
      <c r="B24" s="15" t="inlineStr">
        <is>
          <t>BARILLA SPAGHETTI N5 500G</t>
        </is>
      </c>
      <c r="C24" s="15" t="inlineStr">
        <is>
          <t>Spaghetti n°5, 500 g</t>
        </is>
      </c>
      <c r="D24" s="15" t="inlineStr">
        <is>
          <t>Barilla</t>
        </is>
      </c>
      <c r="E24" s="15" t="inlineStr">
        <is>
          <t>Grocery</t>
        </is>
      </c>
      <c r="F24" s="15" t="inlineStr">
        <is>
          <t>Pasta</t>
        </is>
      </c>
      <c r="G24" s="15" t="inlineStr">
        <is>
          <t>yes</t>
        </is>
      </c>
      <c r="H24" s="15" t="inlineStr">
        <is>
          <t>yes</t>
        </is>
      </c>
      <c r="I24" s="15" t="n"/>
      <c r="J24" s="15" t="inlineStr">
        <is>
          <t>whole</t>
        </is>
      </c>
      <c r="K24" s="15" t="inlineStr">
        <is>
          <t>FG5</t>
        </is>
      </c>
      <c r="L24" s="15" t="inlineStr">
        <is>
          <t>refined grain</t>
        </is>
      </c>
      <c r="M24" s="15" t="inlineStr">
        <is>
          <t>plant</t>
        </is>
      </c>
      <c r="N24" s="15" t="n"/>
      <c r="O24" s="15" t="inlineStr">
        <is>
          <t>Plant-based non-core</t>
        </is>
      </c>
      <c r="P24" s="15" t="inlineStr">
        <is>
          <t>Altera reference base</t>
        </is>
      </c>
      <c r="Q24" s="42" t="n"/>
      <c r="R24" s="43" t="n">
        <v>254000</v>
      </c>
      <c r="S24" s="44" t="n">
        <v>0.5</v>
      </c>
      <c r="T24" s="15" t="inlineStr">
        <is>
          <t>Retailer file</t>
        </is>
      </c>
      <c r="U24" s="45" t="n">
        <v>13</v>
      </c>
      <c r="V24" s="15" t="inlineStr">
        <is>
          <t>Open Food Facts</t>
        </is>
      </c>
      <c r="W24" s="46" t="n">
        <v>1</v>
      </c>
      <c r="X24" s="15" t="inlineStr">
        <is>
          <t>Single origin</t>
        </is>
      </c>
      <c r="Y24" s="15" t="inlineStr">
        <is>
          <t>A</t>
        </is>
      </c>
      <c r="Z24" s="47" t="n">
        <v>1</v>
      </c>
      <c r="AA24" s="48">
        <f>IF(H24="yes",R24*N(S24)/1000,0)</f>
        <v/>
      </c>
      <c r="AB24" s="49">
        <f>AA24*N(U24)/100</f>
        <v/>
      </c>
      <c r="AC24" s="49">
        <f>AB24*N(W24)</f>
        <v/>
      </c>
      <c r="AD24" s="49">
        <f>AB24-AC24</f>
        <v/>
      </c>
      <c r="AE24" s="48">
        <f>IF(G24="yes",R24*N(S24)/1000,0)</f>
        <v/>
      </c>
      <c r="AF24" s="48">
        <f>AE24*Z24</f>
        <v/>
      </c>
    </row>
    <row r="25">
      <c r="A25" s="41" t="inlineStr">
        <is>
          <t>3228857000852</t>
        </is>
      </c>
      <c r="B25" s="15" t="inlineStr">
        <is>
          <t>HARRYS PAIN DE MIE NATURE 500G</t>
        </is>
      </c>
      <c r="C25" s="15" t="inlineStr">
        <is>
          <t>Pain de mie 100% mie nature, 500 g</t>
        </is>
      </c>
      <c r="D25" s="15" t="inlineStr">
        <is>
          <t>Harrys</t>
        </is>
      </c>
      <c r="E25" s="15" t="inlineStr">
        <is>
          <t>Bakery</t>
        </is>
      </c>
      <c r="F25" s="15" t="inlineStr">
        <is>
          <t>Sandwich bread</t>
        </is>
      </c>
      <c r="G25" s="15" t="inlineStr">
        <is>
          <t>yes</t>
        </is>
      </c>
      <c r="H25" s="15" t="inlineStr">
        <is>
          <t>yes</t>
        </is>
      </c>
      <c r="I25" s="15" t="n"/>
      <c r="J25" s="15" t="inlineStr">
        <is>
          <t>whole</t>
        </is>
      </c>
      <c r="K25" s="15" t="inlineStr">
        <is>
          <t>FG5</t>
        </is>
      </c>
      <c r="L25" s="15" t="inlineStr">
        <is>
          <t>refined grain</t>
        </is>
      </c>
      <c r="M25" s="15" t="inlineStr">
        <is>
          <t>plant</t>
        </is>
      </c>
      <c r="N25" s="15" t="n"/>
      <c r="O25" s="15" t="inlineStr">
        <is>
          <t>Plant-based non-core</t>
        </is>
      </c>
      <c r="P25" s="15" t="inlineStr">
        <is>
          <t>Language model</t>
        </is>
      </c>
      <c r="Q25" s="42" t="n">
        <v>0.9399999999999999</v>
      </c>
      <c r="R25" s="43" t="n">
        <v>167000</v>
      </c>
      <c r="S25" s="44" t="n">
        <v>0.5</v>
      </c>
      <c r="T25" s="15" t="inlineStr">
        <is>
          <t>Retailer file</t>
        </is>
      </c>
      <c r="U25" s="45" t="n">
        <v>7</v>
      </c>
      <c r="V25" s="15" t="inlineStr">
        <is>
          <t>Declared by the retailer, checked</t>
        </is>
      </c>
      <c r="W25" s="46" t="n">
        <v>1</v>
      </c>
      <c r="X25" s="15" t="inlineStr">
        <is>
          <t>Single origin</t>
        </is>
      </c>
      <c r="Y25" s="15" t="inlineStr">
        <is>
          <t>A</t>
        </is>
      </c>
      <c r="Z25" s="47" t="n">
        <v>1</v>
      </c>
      <c r="AA25" s="48">
        <f>IF(H25="yes",R25*N(S25)/1000,0)</f>
        <v/>
      </c>
      <c r="AB25" s="49">
        <f>AA25*N(U25)/100</f>
        <v/>
      </c>
      <c r="AC25" s="49">
        <f>AB25*N(W25)</f>
        <v/>
      </c>
      <c r="AD25" s="49">
        <f>AB25-AC25</f>
        <v/>
      </c>
      <c r="AE25" s="48">
        <f>IF(G25="yes",R25*N(S25)/1000,0)</f>
        <v/>
      </c>
      <c r="AF25" s="48">
        <f>AE25*Z25</f>
        <v/>
      </c>
    </row>
    <row r="26">
      <c r="A26" s="41" t="inlineStr">
        <is>
          <t>8710100426588</t>
        </is>
      </c>
      <c r="B26" s="15" t="inlineStr">
        <is>
          <t>QUAKER FLOCONS AVOINE 800G</t>
        </is>
      </c>
      <c r="C26" s="15" t="inlineStr">
        <is>
          <t>Flocons d'avoine, 800 g</t>
        </is>
      </c>
      <c r="D26" s="15" t="inlineStr">
        <is>
          <t>Quaker</t>
        </is>
      </c>
      <c r="E26" s="15" t="inlineStr">
        <is>
          <t>Breakfast</t>
        </is>
      </c>
      <c r="F26" s="15" t="inlineStr">
        <is>
          <t>Cereals</t>
        </is>
      </c>
      <c r="G26" s="15" t="inlineStr">
        <is>
          <t>yes</t>
        </is>
      </c>
      <c r="H26" s="15" t="inlineStr">
        <is>
          <t>yes</t>
        </is>
      </c>
      <c r="I26" s="15" t="n"/>
      <c r="J26" s="15" t="inlineStr">
        <is>
          <t>whole</t>
        </is>
      </c>
      <c r="K26" s="15" t="inlineStr">
        <is>
          <t>FG5</t>
        </is>
      </c>
      <c r="L26" s="15" t="inlineStr">
        <is>
          <t>whole grain</t>
        </is>
      </c>
      <c r="M26" s="15" t="inlineStr">
        <is>
          <t>plant</t>
        </is>
      </c>
      <c r="N26" s="15" t="n"/>
      <c r="O26" s="15" t="inlineStr">
        <is>
          <t>Plant-based non-core</t>
        </is>
      </c>
      <c r="P26" s="15" t="inlineStr">
        <is>
          <t>Language model</t>
        </is>
      </c>
      <c r="Q26" s="42" t="n">
        <v>0.95</v>
      </c>
      <c r="R26" s="43" t="n">
        <v>39000</v>
      </c>
      <c r="S26" s="44" t="n">
        <v>0.8</v>
      </c>
      <c r="T26" s="15" t="inlineStr">
        <is>
          <t>Retailer file</t>
        </is>
      </c>
      <c r="U26" s="45" t="n">
        <v>11</v>
      </c>
      <c r="V26" s="15" t="inlineStr">
        <is>
          <t>Declared by the retailer, checked</t>
        </is>
      </c>
      <c r="W26" s="46" t="n">
        <v>1</v>
      </c>
      <c r="X26" s="15" t="inlineStr">
        <is>
          <t>Single origin</t>
        </is>
      </c>
      <c r="Y26" s="15" t="inlineStr">
        <is>
          <t>A</t>
        </is>
      </c>
      <c r="Z26" s="47" t="n">
        <v>1</v>
      </c>
      <c r="AA26" s="48">
        <f>IF(H26="yes",R26*N(S26)/1000,0)</f>
        <v/>
      </c>
      <c r="AB26" s="49">
        <f>AA26*N(U26)/100</f>
        <v/>
      </c>
      <c r="AC26" s="49">
        <f>AB26*N(W26)</f>
        <v/>
      </c>
      <c r="AD26" s="49">
        <f>AB26-AC26</f>
        <v/>
      </c>
      <c r="AE26" s="48">
        <f>IF(G26="yes",R26*N(S26)/1000,0)</f>
        <v/>
      </c>
      <c r="AF26" s="48">
        <f>AE26*Z26</f>
        <v/>
      </c>
    </row>
    <row r="27">
      <c r="A27" s="41" t="inlineStr">
        <is>
          <t>7613034897930</t>
        </is>
      </c>
      <c r="B27" s="15" t="inlineStr">
        <is>
          <t>MOUSLINE PUREE NATURE 4X130G</t>
        </is>
      </c>
      <c r="C27" s="15" t="inlineStr">
        <is>
          <t>Purée nature, 4 × 130 g</t>
        </is>
      </c>
      <c r="D27" s="15" t="inlineStr">
        <is>
          <t>Mousline</t>
        </is>
      </c>
      <c r="E27" s="15" t="inlineStr">
        <is>
          <t>Grocery</t>
        </is>
      </c>
      <c r="F27" s="15" t="inlineStr">
        <is>
          <t>Potato flakes</t>
        </is>
      </c>
      <c r="G27" s="15" t="inlineStr">
        <is>
          <t>yes</t>
        </is>
      </c>
      <c r="H27" s="15" t="inlineStr">
        <is>
          <t>yes</t>
        </is>
      </c>
      <c r="I27" s="15" t="n"/>
      <c r="J27" s="15" t="inlineStr">
        <is>
          <t>whole</t>
        </is>
      </c>
      <c r="K27" s="15" t="inlineStr">
        <is>
          <t>FG6</t>
        </is>
      </c>
      <c r="L27" s="15" t="n"/>
      <c r="M27" s="15" t="inlineStr">
        <is>
          <t>plant</t>
        </is>
      </c>
      <c r="N27" s="15" t="n"/>
      <c r="O27" s="15" t="inlineStr">
        <is>
          <t>Plant-based non-core</t>
        </is>
      </c>
      <c r="P27" s="15" t="inlineStr">
        <is>
          <t>Language model</t>
        </is>
      </c>
      <c r="Q27" s="42" t="n">
        <v>0.89</v>
      </c>
      <c r="R27" s="43" t="n">
        <v>44000</v>
      </c>
      <c r="S27" s="44" t="n">
        <v>0.52</v>
      </c>
      <c r="T27" s="15" t="inlineStr">
        <is>
          <t>Retailer file</t>
        </is>
      </c>
      <c r="U27" s="45" t="n">
        <v>8.300000000000001</v>
      </c>
      <c r="V27" s="15" t="inlineStr">
        <is>
          <t>CIQUAL</t>
        </is>
      </c>
      <c r="W27" s="46" t="n">
        <v>1</v>
      </c>
      <c r="X27" s="15" t="inlineStr">
        <is>
          <t>Single origin</t>
        </is>
      </c>
      <c r="Y27" s="15" t="inlineStr">
        <is>
          <t>A</t>
        </is>
      </c>
      <c r="Z27" s="47" t="n">
        <v>1</v>
      </c>
      <c r="AA27" s="48">
        <f>IF(H27="yes",R27*N(S27)/1000,0)</f>
        <v/>
      </c>
      <c r="AB27" s="49">
        <f>AA27*N(U27)/100</f>
        <v/>
      </c>
      <c r="AC27" s="49">
        <f>AB27*N(W27)</f>
        <v/>
      </c>
      <c r="AD27" s="49">
        <f>AB27-AC27</f>
        <v/>
      </c>
      <c r="AE27" s="48">
        <f>IF(G27="yes",R27*N(S27)/1000,0)</f>
        <v/>
      </c>
      <c r="AF27" s="48">
        <f>AE27*Z27</f>
        <v/>
      </c>
    </row>
    <row r="28">
      <c r="A28" s="41" t="inlineStr">
        <is>
          <t>5053990155354</t>
        </is>
      </c>
      <c r="B28" s="15" t="inlineStr">
        <is>
          <t>PRINGLES SOUR CREAM ONION 175G</t>
        </is>
      </c>
      <c r="C28" s="15" t="inlineStr">
        <is>
          <t>Pringles Sour Cream &amp; Onion, 175 g</t>
        </is>
      </c>
      <c r="D28" s="15" t="inlineStr">
        <is>
          <t>Pringles</t>
        </is>
      </c>
      <c r="E28" s="15" t="inlineStr">
        <is>
          <t>Snacks</t>
        </is>
      </c>
      <c r="F28" s="15" t="inlineStr">
        <is>
          <t>Crisps</t>
        </is>
      </c>
      <c r="G28" s="15" t="inlineStr">
        <is>
          <t>yes</t>
        </is>
      </c>
      <c r="H28" s="15" t="inlineStr">
        <is>
          <t>yes</t>
        </is>
      </c>
      <c r="I28" s="15" t="n"/>
      <c r="J28" s="15" t="inlineStr">
        <is>
          <t>whole</t>
        </is>
      </c>
      <c r="K28" s="15" t="inlineStr">
        <is>
          <t>FG7</t>
        </is>
      </c>
      <c r="L28" s="15" t="n"/>
      <c r="M28" s="15" t="inlineStr">
        <is>
          <t>animal</t>
        </is>
      </c>
      <c r="N28" s="15" t="n"/>
      <c r="O28" s="15" t="inlineStr">
        <is>
          <t>Composite</t>
        </is>
      </c>
      <c r="P28" s="15" t="inlineStr">
        <is>
          <t>Language model</t>
        </is>
      </c>
      <c r="Q28" s="42" t="n">
        <v>0.93</v>
      </c>
      <c r="R28" s="43" t="n">
        <v>102000</v>
      </c>
      <c r="S28" s="44" t="n">
        <v>0.175</v>
      </c>
      <c r="T28" s="15" t="inlineStr">
        <is>
          <t>Till label</t>
        </is>
      </c>
      <c r="U28" s="45" t="n">
        <v>6</v>
      </c>
      <c r="V28" s="15" t="inlineStr">
        <is>
          <t>Open Food Facts</t>
        </is>
      </c>
      <c r="W28" s="46" t="n">
        <v>0.92</v>
      </c>
      <c r="X28" s="15" t="inlineStr">
        <is>
          <t>NEVO table</t>
        </is>
      </c>
      <c r="Y28" s="15" t="inlineStr">
        <is>
          <t>A</t>
        </is>
      </c>
      <c r="Z28" s="47" t="n">
        <v>1</v>
      </c>
      <c r="AA28" s="48">
        <f>IF(H28="yes",R28*N(S28)/1000,0)</f>
        <v/>
      </c>
      <c r="AB28" s="49">
        <f>AA28*N(U28)/100</f>
        <v/>
      </c>
      <c r="AC28" s="49">
        <f>AB28*N(W28)</f>
        <v/>
      </c>
      <c r="AD28" s="49">
        <f>AB28-AC28</f>
        <v/>
      </c>
      <c r="AE28" s="48">
        <f>IF(G28="yes",R28*N(S28)/1000,0)</f>
        <v/>
      </c>
      <c r="AF28" s="48">
        <f>AE28*Z28</f>
        <v/>
      </c>
    </row>
    <row r="29">
      <c r="A29" s="41" t="inlineStr">
        <is>
          <t>3017620422003</t>
        </is>
      </c>
      <c r="B29" s="15" t="inlineStr">
        <is>
          <t>NUTELLA PATE A TARTINER 400G</t>
        </is>
      </c>
      <c r="C29" s="15" t="inlineStr">
        <is>
          <t>Nutella, 400 g</t>
        </is>
      </c>
      <c r="D29" s="15" t="inlineStr">
        <is>
          <t>Nutella</t>
        </is>
      </c>
      <c r="E29" s="15" t="inlineStr">
        <is>
          <t>Breakfast</t>
        </is>
      </c>
      <c r="F29" s="15" t="inlineStr">
        <is>
          <t>Spreads</t>
        </is>
      </c>
      <c r="G29" s="15" t="inlineStr">
        <is>
          <t>yes</t>
        </is>
      </c>
      <c r="H29" s="15" t="inlineStr">
        <is>
          <t>yes</t>
        </is>
      </c>
      <c r="I29" s="15" t="n"/>
      <c r="J29" s="15" t="inlineStr">
        <is>
          <t>whole</t>
        </is>
      </c>
      <c r="K29" s="15" t="inlineStr">
        <is>
          <t>FG7</t>
        </is>
      </c>
      <c r="L29" s="15" t="n"/>
      <c r="M29" s="15" t="inlineStr">
        <is>
          <t>animal</t>
        </is>
      </c>
      <c r="N29" s="15" t="n"/>
      <c r="O29" s="15" t="inlineStr">
        <is>
          <t>Composite</t>
        </is>
      </c>
      <c r="P29" s="15" t="inlineStr">
        <is>
          <t>Altera reference base</t>
        </is>
      </c>
      <c r="Q29" s="42" t="n"/>
      <c r="R29" s="43" t="n">
        <v>139000</v>
      </c>
      <c r="S29" s="44" t="n">
        <v>0.4</v>
      </c>
      <c r="T29" s="15" t="inlineStr">
        <is>
          <t>Retailer file</t>
        </is>
      </c>
      <c r="U29" s="45" t="n">
        <v>6.3</v>
      </c>
      <c r="V29" s="15" t="inlineStr">
        <is>
          <t>Declared by the retailer, checked</t>
        </is>
      </c>
      <c r="W29" s="46" t="n">
        <v>0.5600000000000001</v>
      </c>
      <c r="X29" s="15" t="inlineStr">
        <is>
          <t>Ingredient list</t>
        </is>
      </c>
      <c r="Y29" s="15" t="inlineStr">
        <is>
          <t>A</t>
        </is>
      </c>
      <c r="Z29" s="47" t="n">
        <v>1</v>
      </c>
      <c r="AA29" s="48">
        <f>IF(H29="yes",R29*N(S29)/1000,0)</f>
        <v/>
      </c>
      <c r="AB29" s="49">
        <f>AA29*N(U29)/100</f>
        <v/>
      </c>
      <c r="AC29" s="49">
        <f>AB29*N(W29)</f>
        <v/>
      </c>
      <c r="AD29" s="49">
        <f>AB29-AC29</f>
        <v/>
      </c>
      <c r="AE29" s="48">
        <f>IF(G29="yes",R29*N(S29)/1000,0)</f>
        <v/>
      </c>
      <c r="AF29" s="48">
        <f>AE29*Z29</f>
        <v/>
      </c>
    </row>
    <row r="30">
      <c r="A30" s="41" t="inlineStr">
        <is>
          <t>3168930167983</t>
        </is>
      </c>
      <c r="B30" s="15" t="inlineStr">
        <is>
          <t>LAYS NATURE 155G</t>
        </is>
      </c>
      <c r="C30" s="15" t="inlineStr">
        <is>
          <t>Chips nature, 155 g</t>
        </is>
      </c>
      <c r="D30" s="15" t="inlineStr">
        <is>
          <t>Lay's</t>
        </is>
      </c>
      <c r="E30" s="15" t="inlineStr">
        <is>
          <t>Snacks</t>
        </is>
      </c>
      <c r="F30" s="15" t="inlineStr">
        <is>
          <t>Crisps</t>
        </is>
      </c>
      <c r="G30" s="15" t="inlineStr">
        <is>
          <t>yes</t>
        </is>
      </c>
      <c r="H30" s="15" t="inlineStr">
        <is>
          <t>yes</t>
        </is>
      </c>
      <c r="I30" s="15" t="n"/>
      <c r="J30" s="15" t="inlineStr">
        <is>
          <t>whole</t>
        </is>
      </c>
      <c r="K30" s="15" t="inlineStr">
        <is>
          <t>FG7</t>
        </is>
      </c>
      <c r="L30" s="15" t="n"/>
      <c r="M30" s="15" t="inlineStr">
        <is>
          <t>plant</t>
        </is>
      </c>
      <c r="N30" s="15" t="n"/>
      <c r="O30" s="15" t="inlineStr">
        <is>
          <t>Plant-based non-core</t>
        </is>
      </c>
      <c r="P30" s="15" t="inlineStr">
        <is>
          <t>Language model</t>
        </is>
      </c>
      <c r="Q30" s="42" t="n">
        <v>0.97</v>
      </c>
      <c r="R30" s="43" t="n">
        <v>97000</v>
      </c>
      <c r="S30" s="44" t="n">
        <v>0.155</v>
      </c>
      <c r="T30" s="15" t="inlineStr">
        <is>
          <t>Retailer file</t>
        </is>
      </c>
      <c r="U30" s="45" t="n">
        <v>5.7</v>
      </c>
      <c r="V30" s="15" t="inlineStr">
        <is>
          <t>Declared by the retailer, checked</t>
        </is>
      </c>
      <c r="W30" s="46" t="n">
        <v>1</v>
      </c>
      <c r="X30" s="15" t="inlineStr">
        <is>
          <t>Single origin</t>
        </is>
      </c>
      <c r="Y30" s="15" t="inlineStr">
        <is>
          <t>A</t>
        </is>
      </c>
      <c r="Z30" s="47" t="n">
        <v>1</v>
      </c>
      <c r="AA30" s="48">
        <f>IF(H30="yes",R30*N(S30)/1000,0)</f>
        <v/>
      </c>
      <c r="AB30" s="49">
        <f>AA30*N(U30)/100</f>
        <v/>
      </c>
      <c r="AC30" s="49">
        <f>AB30*N(W30)</f>
        <v/>
      </c>
      <c r="AD30" s="49">
        <f>AB30-AC30</f>
        <v/>
      </c>
      <c r="AE30" s="48">
        <f>IF(G30="yes",R30*N(S30)/1000,0)</f>
        <v/>
      </c>
      <c r="AF30" s="48">
        <f>AE30*Z30</f>
        <v/>
      </c>
    </row>
    <row r="31">
      <c r="A31" s="41" t="inlineStr">
        <is>
          <t>3166352968591</t>
        </is>
      </c>
      <c r="B31" s="15" t="inlineStr">
        <is>
          <t>MARIE LASAGNES BOLOGNAISE 300G</t>
        </is>
      </c>
      <c r="C31" s="15" t="inlineStr">
        <is>
          <t>Lasagnes à la bolognaise, 300 g</t>
        </is>
      </c>
      <c r="D31" s="15" t="inlineStr">
        <is>
          <t>Marie</t>
        </is>
      </c>
      <c r="E31" s="15" t="inlineStr">
        <is>
          <t>Ready meals</t>
        </is>
      </c>
      <c r="F31" s="15" t="inlineStr">
        <is>
          <t>Pasta dishes</t>
        </is>
      </c>
      <c r="G31" s="15" t="inlineStr">
        <is>
          <t>yes</t>
        </is>
      </c>
      <c r="H31" s="15" t="inlineStr">
        <is>
          <t>yes</t>
        </is>
      </c>
      <c r="I31" s="15" t="n"/>
      <c r="J31" s="15" t="inlineStr">
        <is>
          <t>composite</t>
        </is>
      </c>
      <c r="K31" s="15" t="n"/>
      <c r="L31" s="15" t="n"/>
      <c r="M31" s="15" t="n"/>
      <c r="N31" s="15" t="inlineStr">
        <is>
          <t>Meat-based</t>
        </is>
      </c>
      <c r="O31" s="15" t="inlineStr">
        <is>
          <t>Composite</t>
        </is>
      </c>
      <c r="P31" s="15" t="inlineStr">
        <is>
          <t>Language model</t>
        </is>
      </c>
      <c r="Q31" s="42" t="n">
        <v>0.95</v>
      </c>
      <c r="R31" s="43" t="n">
        <v>58000</v>
      </c>
      <c r="S31" s="44" t="n">
        <v>0.3</v>
      </c>
      <c r="T31" s="15" t="inlineStr">
        <is>
          <t>Retailer file</t>
        </is>
      </c>
      <c r="U31" s="45" t="n">
        <v>7.5</v>
      </c>
      <c r="V31" s="15" t="inlineStr">
        <is>
          <t>Declared by the retailer, checked</t>
        </is>
      </c>
      <c r="W31" s="46" t="n">
        <v>0.21</v>
      </c>
      <c r="X31" s="15" t="inlineStr">
        <is>
          <t>Ingredient list</t>
        </is>
      </c>
      <c r="Y31" s="15" t="inlineStr">
        <is>
          <t>A</t>
        </is>
      </c>
      <c r="Z31" s="47" t="n">
        <v>1</v>
      </c>
      <c r="AA31" s="48">
        <f>IF(H31="yes",R31*N(S31)/1000,0)</f>
        <v/>
      </c>
      <c r="AB31" s="49">
        <f>AA31*N(U31)/100</f>
        <v/>
      </c>
      <c r="AC31" s="49">
        <f>AB31*N(W31)</f>
        <v/>
      </c>
      <c r="AD31" s="49">
        <f>AB31-AC31</f>
        <v/>
      </c>
      <c r="AE31" s="48">
        <f>IF(G31="yes",R31*N(S31)/1000,0)</f>
        <v/>
      </c>
      <c r="AF31" s="48">
        <f>AE31*Z31</f>
        <v/>
      </c>
    </row>
    <row r="32">
      <c r="A32" s="41" t="inlineStr">
        <is>
          <t>7613034223852</t>
        </is>
      </c>
      <c r="B32" s="15" t="inlineStr">
        <is>
          <t>BUITONI FRAICHUP 4 FROMAGES 600G</t>
        </is>
      </c>
      <c r="C32" s="15" t="inlineStr">
        <is>
          <t>Pizza Fraîch'Up 4 fromages, 600 g</t>
        </is>
      </c>
      <c r="D32" s="15" t="inlineStr">
        <is>
          <t>Buitoni</t>
        </is>
      </c>
      <c r="E32" s="15" t="inlineStr">
        <is>
          <t>Frozen</t>
        </is>
      </c>
      <c r="F32" s="15" t="inlineStr">
        <is>
          <t>Pizzas</t>
        </is>
      </c>
      <c r="G32" s="15" t="inlineStr">
        <is>
          <t>yes</t>
        </is>
      </c>
      <c r="H32" s="15" t="inlineStr">
        <is>
          <t>yes</t>
        </is>
      </c>
      <c r="I32" s="15" t="n"/>
      <c r="J32" s="15" t="inlineStr">
        <is>
          <t>composite</t>
        </is>
      </c>
      <c r="K32" s="15" t="n"/>
      <c r="L32" s="15" t="n"/>
      <c r="M32" s="15" t="n"/>
      <c r="N32" s="15" t="inlineStr">
        <is>
          <t>Vegetarian</t>
        </is>
      </c>
      <c r="O32" s="15" t="inlineStr">
        <is>
          <t>Composite</t>
        </is>
      </c>
      <c r="P32" s="15" t="inlineStr">
        <is>
          <t>Language model</t>
        </is>
      </c>
      <c r="Q32" s="42" t="n">
        <v>0.88</v>
      </c>
      <c r="R32" s="43" t="n">
        <v>71000</v>
      </c>
      <c r="S32" s="44" t="n">
        <v>0.6</v>
      </c>
      <c r="T32" s="15" t="inlineStr">
        <is>
          <t>Retailer file</t>
        </is>
      </c>
      <c r="U32" s="45" t="n">
        <v>11.8</v>
      </c>
      <c r="V32" s="15" t="inlineStr">
        <is>
          <t>Open Food Facts</t>
        </is>
      </c>
      <c r="W32" s="46" t="n">
        <v>0.5</v>
      </c>
      <c r="X32" s="15" t="inlineStr">
        <is>
          <t>50/50 convention</t>
        </is>
      </c>
      <c r="Y32" s="15" t="inlineStr">
        <is>
          <t>B</t>
        </is>
      </c>
      <c r="Z32" s="47" t="n">
        <v>1</v>
      </c>
      <c r="AA32" s="48">
        <f>IF(H32="yes",R32*N(S32)/1000,0)</f>
        <v/>
      </c>
      <c r="AB32" s="49">
        <f>AA32*N(U32)/100</f>
        <v/>
      </c>
      <c r="AC32" s="49">
        <f>AB32*N(W32)</f>
        <v/>
      </c>
      <c r="AD32" s="49">
        <f>AB32-AC32</f>
        <v/>
      </c>
      <c r="AE32" s="48">
        <f>IF(G32="yes",R32*N(S32)/1000,0)</f>
        <v/>
      </c>
      <c r="AF32" s="48">
        <f>AE32*Z32</f>
        <v/>
      </c>
    </row>
    <row r="33">
      <c r="A33" s="41" t="inlineStr">
        <is>
          <t>5449000214911</t>
        </is>
      </c>
      <c r="B33" s="15" t="inlineStr">
        <is>
          <t>COCA COLA ORIGINAL CAN 33CL</t>
        </is>
      </c>
      <c r="C33" s="15" t="inlineStr">
        <is>
          <t>Coca-Cola Original, 33 cl</t>
        </is>
      </c>
      <c r="D33" s="15" t="inlineStr">
        <is>
          <t>Coca-Cola</t>
        </is>
      </c>
      <c r="E33" s="15" t="inlineStr">
        <is>
          <t>Drinks</t>
        </is>
      </c>
      <c r="F33" s="15" t="inlineStr">
        <is>
          <t>Soft drinks</t>
        </is>
      </c>
      <c r="G33" s="15" t="inlineStr">
        <is>
          <t>no</t>
        </is>
      </c>
      <c r="H33" s="15" t="inlineStr">
        <is>
          <t>yes</t>
        </is>
      </c>
      <c r="I33" s="15" t="inlineStr">
        <is>
          <t>Appendix A: soft drink, WWF only</t>
        </is>
      </c>
      <c r="J33" s="15" t="n"/>
      <c r="K33" s="15" t="n"/>
      <c r="L33" s="15" t="n"/>
      <c r="M33" s="15" t="n"/>
      <c r="N33" s="15" t="n"/>
      <c r="O33" s="15" t="inlineStr">
        <is>
          <t>Plant-based non-core</t>
        </is>
      </c>
      <c r="P33" s="15" t="inlineStr">
        <is>
          <t>Altera reference base</t>
        </is>
      </c>
      <c r="Q33" s="42" t="n"/>
      <c r="R33" s="43" t="n">
        <v>296000</v>
      </c>
      <c r="S33" s="44" t="n">
        <v>0.33</v>
      </c>
      <c r="T33" s="15" t="inlineStr">
        <is>
          <t>Retailer file</t>
        </is>
      </c>
      <c r="U33" s="45" t="n">
        <v>0</v>
      </c>
      <c r="V33" s="15" t="inlineStr">
        <is>
          <t>Declared by the retailer, checked</t>
        </is>
      </c>
      <c r="W33" s="46" t="n">
        <v>1</v>
      </c>
      <c r="X33" s="15" t="inlineStr">
        <is>
          <t>No protein</t>
        </is>
      </c>
      <c r="Y33" s="15" t="n"/>
      <c r="Z33" s="47" t="n">
        <v>1</v>
      </c>
      <c r="AA33" s="48">
        <f>IF(H33="yes",R33*N(S33)/1000,0)</f>
        <v/>
      </c>
      <c r="AB33" s="49">
        <f>AA33*N(U33)/100</f>
        <v/>
      </c>
      <c r="AC33" s="49">
        <f>AB33*N(W33)</f>
        <v/>
      </c>
      <c r="AD33" s="49">
        <f>AB33-AC33</f>
        <v/>
      </c>
      <c r="AE33" s="48">
        <f>IF(G33="yes",R33*N(S33)/1000,0)</f>
        <v/>
      </c>
      <c r="AF33" s="48">
        <f>AE33*Z33</f>
        <v/>
      </c>
    </row>
    <row r="34">
      <c r="A34" s="41" t="inlineStr">
        <is>
          <t>3119780259625</t>
        </is>
      </c>
      <c r="B34" s="15" t="inlineStr">
        <is>
          <t>HEINEKEN BIERE 33CL</t>
        </is>
      </c>
      <c r="C34" s="15" t="inlineStr">
        <is>
          <t>Heineken, 33 cl</t>
        </is>
      </c>
      <c r="D34" s="15" t="inlineStr">
        <is>
          <t>Heineken</t>
        </is>
      </c>
      <c r="E34" s="15" t="inlineStr">
        <is>
          <t>Beer &amp; wine</t>
        </is>
      </c>
      <c r="F34" s="15" t="inlineStr">
        <is>
          <t>Beer</t>
        </is>
      </c>
      <c r="G34" s="15" t="inlineStr">
        <is>
          <t>no</t>
        </is>
      </c>
      <c r="H34" s="15" t="inlineStr">
        <is>
          <t>yes</t>
        </is>
      </c>
      <c r="I34" s="15" t="inlineStr">
        <is>
          <t>Appendix A: alcohol, WWF only</t>
        </is>
      </c>
      <c r="J34" s="15" t="n"/>
      <c r="K34" s="15" t="n"/>
      <c r="L34" s="15" t="n"/>
      <c r="M34" s="15" t="n"/>
      <c r="N34" s="15" t="n"/>
      <c r="O34" s="15" t="inlineStr">
        <is>
          <t>Plant-based non-core</t>
        </is>
      </c>
      <c r="P34" s="15" t="inlineStr">
        <is>
          <t>Altera reference base</t>
        </is>
      </c>
      <c r="Q34" s="42" t="n"/>
      <c r="R34" s="43" t="n">
        <v>180000</v>
      </c>
      <c r="S34" s="44" t="n">
        <v>0.33</v>
      </c>
      <c r="T34" s="15" t="inlineStr">
        <is>
          <t>Retailer file</t>
        </is>
      </c>
      <c r="U34" s="45" t="n">
        <v>0</v>
      </c>
      <c r="V34" s="15" t="inlineStr">
        <is>
          <t>Declared by the retailer, checked</t>
        </is>
      </c>
      <c r="W34" s="46" t="n">
        <v>1</v>
      </c>
      <c r="X34" s="15" t="inlineStr">
        <is>
          <t>No protein</t>
        </is>
      </c>
      <c r="Y34" s="15" t="n"/>
      <c r="Z34" s="47" t="n">
        <v>1</v>
      </c>
      <c r="AA34" s="48">
        <f>IF(H34="yes",R34*N(S34)/1000,0)</f>
        <v/>
      </c>
      <c r="AB34" s="49">
        <f>AA34*N(U34)/100</f>
        <v/>
      </c>
      <c r="AC34" s="49">
        <f>AB34*N(W34)</f>
        <v/>
      </c>
      <c r="AD34" s="49">
        <f>AB34-AC34</f>
        <v/>
      </c>
      <c r="AE34" s="48">
        <f>IF(G34="yes",R34*N(S34)/1000,0)</f>
        <v/>
      </c>
      <c r="AF34" s="48">
        <f>AE34*Z34</f>
        <v/>
      </c>
    </row>
    <row r="35">
      <c r="A35" s="41" t="inlineStr">
        <is>
          <t>7322540819342</t>
        </is>
      </c>
      <c r="B35" s="15" t="inlineStr">
        <is>
          <t>LOTUS PQ AQUA TUBE X12</t>
        </is>
      </c>
      <c r="C35" s="15" t="inlineStr">
        <is>
          <t>Papier toilette Aqua Tube, 12 rouleaux</t>
        </is>
      </c>
      <c r="D35" s="15" t="inlineStr">
        <is>
          <t>Lotus</t>
        </is>
      </c>
      <c r="E35" s="15" t="inlineStr">
        <is>
          <t>Household</t>
        </is>
      </c>
      <c r="F35" s="15" t="inlineStr">
        <is>
          <t>Paper</t>
        </is>
      </c>
      <c r="G35" s="15" t="inlineStr">
        <is>
          <t>no</t>
        </is>
      </c>
      <c r="H35" s="15" t="inlineStr">
        <is>
          <t>no</t>
        </is>
      </c>
      <c r="I35" s="15" t="inlineStr">
        <is>
          <t>Non-food: out of both scopes</t>
        </is>
      </c>
      <c r="J35" s="15" t="n"/>
      <c r="K35" s="15" t="n"/>
      <c r="L35" s="15" t="n"/>
      <c r="M35" s="15" t="n"/>
      <c r="N35" s="15" t="n"/>
      <c r="O35" s="15" t="n"/>
      <c r="P35" s="15" t="n"/>
      <c r="Q35" s="42" t="n"/>
      <c r="R35" s="43" t="n">
        <v>64000</v>
      </c>
      <c r="S35" s="44" t="n"/>
      <c r="T35" s="15" t="n"/>
      <c r="U35" s="45" t="n"/>
      <c r="V35" s="15" t="n"/>
      <c r="W35" s="46" t="n"/>
      <c r="X35" s="15" t="n"/>
      <c r="Y35" s="15" t="n"/>
      <c r="Z35" s="47" t="n">
        <v>1</v>
      </c>
      <c r="AA35" s="48">
        <f>IF(H35="yes",R35*N(S35)/1000,0)</f>
        <v/>
      </c>
      <c r="AB35" s="49">
        <f>AA35*N(U35)/100</f>
        <v/>
      </c>
      <c r="AC35" s="49">
        <f>AB35*N(W35)</f>
        <v/>
      </c>
      <c r="AD35" s="49">
        <f>AB35-AC35</f>
        <v/>
      </c>
      <c r="AE35" s="48">
        <f>IF(G35="yes",R35*N(S35)/1000,0)</f>
        <v/>
      </c>
      <c r="AF35" s="48">
        <f>AE35*Z35</f>
        <v/>
      </c>
    </row>
  </sheetData>
  <autoFilter ref="A5:AF35"/>
  <dataValidations count="1">
    <dataValidation sqref="R6:R35" showDropDown="0" showInputMessage="0" showErrorMessage="1" allowBlank="1" error="A volume is a whole number, zero or more." type="whole" operator="greaterThanOrEqual">
      <formula1>0</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2026-10-19T12:07:52Z</dcterms:created>
  <dcterms:modified xmlns:dcterms="http://purl.org/dc/terms/" xmlns:xsi="http://www.w3.org/2001/XMLSchema-instance" xsi:type="dcterms:W3CDTF">2026-10-19T12:07:52Z</dcterms:modified>
</cp:coreProperties>
</file>