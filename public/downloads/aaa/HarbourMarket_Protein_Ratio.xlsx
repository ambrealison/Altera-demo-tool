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elcome" sheetId="1" state="visible" r:id="rId1"/>
    <sheet xmlns:r="http://schemas.openxmlformats.org/officeDocument/2006/relationships" name="Protein Tracker" sheetId="2" state="visible" r:id="rId2"/>
    <sheet xmlns:r="http://schemas.openxmlformats.org/officeDocument/2006/relationships" name="WWF" sheetId="3" state="visible" r:id="rId3"/>
    <sheet xmlns:r="http://schemas.openxmlformats.org/officeDocument/2006/relationships" name="By category" sheetId="4" state="visible" r:id="rId4"/>
    <sheet xmlns:r="http://schemas.openxmlformats.org/officeDocument/2006/relationships" name="By department" sheetId="5" state="visible" r:id="rId5"/>
    <sheet xmlns:r="http://schemas.openxmlformats.org/officeDocument/2006/relationships" name="By brand" sheetId="6" state="visible" r:id="rId6"/>
    <sheet xmlns:r="http://schemas.openxmlformats.org/officeDocument/2006/relationships" name="By product" sheetId="7" state="visible" r:id="rId7"/>
    <sheet xmlns:r="http://schemas.openxmlformats.org/officeDocument/2006/relationships" name="Data" sheetId="8" state="visible" r:id="rId8"/>
  </sheets>
  <definedNames>
    <definedName name="_xlnm._FilterDatabase" localSheetId="0" hidden="1">'Welcome'!$A$32:$D$82</definedName>
    <definedName name="_xlnm._FilterDatabase" localSheetId="3" hidden="1">'By category'!$A$27:$G$55</definedName>
    <definedName name="_xlnm._FilterDatabase" localSheetId="4" hidden="1">'By department'!$A$3:$G$18</definedName>
    <definedName name="_xlnm._FilterDatabase" localSheetId="5" hidden="1">'By brand'!$A$3:$G$33</definedName>
    <definedName name="_xlnm._FilterDatabase" localSheetId="7" hidden="1">'Data'!$A$1:$AD$31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 %"/>
    <numFmt numFmtId="165" formatCode="0.0 %"/>
    <numFmt numFmtId="166" formatCode="0.000"/>
    <numFmt numFmtId="167" formatCode="0.0"/>
    <numFmt numFmtId="168" formatCode="#,##0.0"/>
  </numFmts>
  <fonts count="27">
    <font>
      <name val="Calibri"/>
      <color theme="1"/>
      <sz val="11"/>
      <scheme val="minor"/>
    </font>
    <font>
      <name val="Calibri"/>
      <color theme="1"/>
    </font>
    <font>
      <name val="Arial"/>
      <b val="1"/>
      <color rgb="FF1F3864"/>
      <sz val="20"/>
    </font>
    <font>
      <name val="Arial"/>
      <b val="1"/>
      <color rgb="FFFFFFFF"/>
      <sz val="12"/>
    </font>
    <font/>
    <font>
      <name val="Calibri"/>
      <color theme="1"/>
      <sz val="11"/>
    </font>
    <font>
      <name val="Arial"/>
      <i val="1"/>
      <color rgb="FF7F7F7F"/>
      <sz val="9"/>
    </font>
    <font>
      <name val="Arial"/>
      <b val="1"/>
      <color rgb="FF1F3864"/>
      <sz val="11"/>
    </font>
    <font>
      <name val="Arial"/>
      <color theme="1"/>
      <sz val="11"/>
    </font>
    <font>
      <name val="Arial"/>
      <b val="1"/>
      <color rgb="FF375623"/>
      <sz val="32"/>
    </font>
    <font>
      <name val="Arial"/>
      <b val="1"/>
      <color theme="1"/>
      <sz val="11"/>
    </font>
    <font>
      <name val="Arial"/>
      <b val="1"/>
      <color theme="1"/>
    </font>
    <font>
      <name val="Arial"/>
      <color theme="1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rgb="FFFFFFFF"/>
      <sz val="11"/>
    </font>
    <font>
      <name val="Arial"/>
      <b val="1"/>
      <color rgb="FF7F7F7F"/>
      <sz val="9"/>
    </font>
    <font>
      <name val="Arial"/>
      <b val="1"/>
      <color rgb="FF1F3864"/>
      <sz val="9"/>
    </font>
    <font>
      <name val="Arial"/>
      <b val="1"/>
      <color rgb="FF1F3864"/>
      <sz val="10"/>
    </font>
    <font>
      <name val="Arial"/>
      <color rgb="FF7F7F7F"/>
      <sz val="10"/>
    </font>
    <font>
      <name val="Arial"/>
      <b val="1"/>
      <color rgb="FF375623"/>
      <sz val="10"/>
    </font>
    <font>
      <name val="Arial"/>
      <b val="1"/>
      <color rgb="FF375623"/>
      <sz val="28"/>
    </font>
    <font>
      <name val="Arial"/>
      <color rgb="FF375623"/>
      <sz val="10"/>
    </font>
    <font>
      <name val="Arial"/>
      <b val="1"/>
      <color rgb="FFFFFFFF"/>
      <sz val="10"/>
    </font>
    <font>
      <name val="Arial"/>
      <i val="1"/>
      <color theme="1"/>
      <sz val="10"/>
    </font>
    <font>
      <name val="Calibri"/>
      <color theme="1"/>
      <scheme val="minor"/>
    </font>
    <font>
      <name val="Arial"/>
      <b val="1"/>
      <color rgb="FF375623"/>
      <sz val="16"/>
    </font>
  </fonts>
  <fills count="9">
    <fill>
      <patternFill/>
    </fill>
    <fill>
      <patternFill patternType="lightGray"/>
    </fill>
    <fill>
      <patternFill patternType="solid">
        <fgColor rgb="FFC55A11"/>
        <bgColor rgb="FFC55A11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375623"/>
        <bgColor rgb="FF375623"/>
      </patternFill>
    </fill>
    <fill>
      <patternFill patternType="solid">
        <fgColor rgb="FFEDF2F9"/>
        <bgColor rgb="FFEDF2F9"/>
      </patternFill>
    </fill>
    <fill>
      <patternFill patternType="solid">
        <fgColor rgb="FFC00000"/>
        <bgColor rgb="FFC00000"/>
      </patternFill>
    </fill>
  </fills>
  <borders count="7">
    <border/>
    <border>
      <left/>
      <top/>
      <bottom/>
    </border>
    <border>
      <top/>
      <bottom/>
    </border>
    <border>
      <bottom style="medium">
        <color rgb="FF1F3864"/>
      </bottom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</border>
    <border>
      <left/>
      <right/>
      <top/>
      <bottom/>
    </border>
    <border>
      <top style="thin">
        <color rgb="FF1F3864"/>
      </top>
    </border>
  </borders>
  <cellStyleXfs count="1">
    <xf numFmtId="0" fontId="0" fillId="0" borderId="0"/>
  </cellStyleXfs>
  <cellXfs count="7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bottom"/>
    </xf>
    <xf numFmtId="0" fontId="4" fillId="0" borderId="2" pivotButton="0" quotePrefix="0" xfId="0"/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bottom"/>
    </xf>
    <xf numFmtId="164" fontId="9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3" fillId="2" borderId="1" applyAlignment="1" pivotButton="0" quotePrefix="0" xfId="0">
      <alignment vertical="center"/>
    </xf>
    <xf numFmtId="0" fontId="13" fillId="0" borderId="0" pivotButton="0" quotePrefix="0" xfId="0"/>
    <xf numFmtId="0" fontId="14" fillId="3" borderId="3" applyAlignment="1" pivotButton="0" quotePrefix="0" xfId="0">
      <alignment horizontal="left" vertical="bottom" wrapText="1"/>
    </xf>
    <xf numFmtId="0" fontId="14" fillId="3" borderId="3" applyAlignment="1" pivotButton="0" quotePrefix="0" xfId="0">
      <alignment horizontal="left" vertical="bottom" wrapText="1"/>
    </xf>
    <xf numFmtId="0" fontId="14" fillId="3" borderId="3" applyAlignment="1" pivotButton="0" quotePrefix="0" xfId="0">
      <alignment horizontal="right" vertical="bottom" wrapText="1"/>
    </xf>
    <xf numFmtId="0" fontId="13" fillId="0" borderId="0" applyAlignment="1" pivotButton="0" quotePrefix="0" xfId="0">
      <alignment horizontal="left"/>
    </xf>
    <xf numFmtId="3" fontId="5" fillId="4" borderId="4" pivotButton="0" quotePrefix="0" xfId="0"/>
    <xf numFmtId="0" fontId="15" fillId="5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6" fillId="0" borderId="0" pivotButton="0" quotePrefix="0" xfId="0"/>
    <xf numFmtId="0" fontId="15" fillId="6" borderId="1" applyAlignment="1" pivotButton="0" quotePrefix="0" xfId="0">
      <alignment vertical="center"/>
    </xf>
    <xf numFmtId="0" fontId="17" fillId="7" borderId="1" applyAlignment="1" pivotButton="0" quotePrefix="0" xfId="0">
      <alignment horizontal="center"/>
    </xf>
    <xf numFmtId="3" fontId="5" fillId="0" borderId="0" pivotButton="0" quotePrefix="0" xfId="0"/>
    <xf numFmtId="0" fontId="18" fillId="7" borderId="5" pivotButton="0" quotePrefix="0" xfId="0"/>
    <xf numFmtId="0" fontId="5" fillId="7" borderId="5" pivotButton="0" quotePrefix="0" xfId="0"/>
    <xf numFmtId="0" fontId="14" fillId="0" borderId="0" pivotButton="0" quotePrefix="0" xfId="0"/>
    <xf numFmtId="165" fontId="5" fillId="0" borderId="0" pivotButton="0" quotePrefix="0" xfId="0"/>
    <xf numFmtId="3" fontId="14" fillId="0" borderId="0" pivotButton="0" quotePrefix="0" xfId="0"/>
    <xf numFmtId="165" fontId="14" fillId="0" borderId="0" pivotButton="0" quotePrefix="0" xfId="0"/>
    <xf numFmtId="164" fontId="19" fillId="0" borderId="0" applyAlignment="1" pivotButton="0" quotePrefix="0" xfId="0">
      <alignment horizontal="right"/>
    </xf>
    <xf numFmtId="3" fontId="19" fillId="0" borderId="0" pivotButton="0" quotePrefix="0" xfId="0"/>
    <xf numFmtId="165" fontId="19" fillId="0" borderId="0" pivotButton="0" quotePrefix="0" xfId="0"/>
    <xf numFmtId="0" fontId="7" fillId="0" borderId="0" pivotButton="0" quotePrefix="0" xfId="0"/>
    <xf numFmtId="3" fontId="20" fillId="0" borderId="0" pivotButton="0" quotePrefix="0" xfId="0"/>
    <xf numFmtId="165" fontId="20" fillId="0" borderId="0" pivotButton="0" quotePrefix="0" xfId="0"/>
    <xf numFmtId="165" fontId="21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14" fillId="0" borderId="6" pivotButton="0" quotePrefix="0" xfId="0"/>
    <xf numFmtId="0" fontId="19" fillId="0" borderId="0" applyAlignment="1" pivotButton="0" quotePrefix="0" xfId="0">
      <alignment horizontal="right"/>
    </xf>
    <xf numFmtId="3" fontId="22" fillId="0" borderId="0" pivotButton="0" quotePrefix="0" xfId="0"/>
    <xf numFmtId="165" fontId="22" fillId="0" borderId="0" pivotButton="0" quotePrefix="0" xfId="0"/>
    <xf numFmtId="0" fontId="13" fillId="0" borderId="0" applyAlignment="1" pivotButton="0" quotePrefix="0" xfId="0">
      <alignment wrapText="1"/>
    </xf>
    <xf numFmtId="0" fontId="23" fillId="8" borderId="6" pivotButton="0" quotePrefix="0" xfId="0"/>
    <xf numFmtId="0" fontId="5" fillId="8" borderId="5" pivotButton="0" quotePrefix="0" xfId="0"/>
    <xf numFmtId="0" fontId="12" fillId="0" borderId="0" applyAlignment="1" pivotButton="0" quotePrefix="0" xfId="0">
      <alignment vertical="bottom"/>
    </xf>
    <xf numFmtId="0" fontId="24" fillId="0" borderId="0" pivotButton="0" quotePrefix="0" xfId="0"/>
    <xf numFmtId="0" fontId="23" fillId="6" borderId="5" pivotButton="0" quotePrefix="0" xfId="0"/>
    <xf numFmtId="0" fontId="5" fillId="6" borderId="5" pivotButton="0" quotePrefix="0" xfId="0"/>
    <xf numFmtId="0" fontId="13" fillId="0" borderId="0" pivotButton="0" quotePrefix="0" xfId="0"/>
    <xf numFmtId="0" fontId="25" fillId="0" borderId="0" pivotButton="0" quotePrefix="0" xfId="0"/>
    <xf numFmtId="3" fontId="14" fillId="0" borderId="6" pivotButton="0" quotePrefix="0" xfId="0"/>
    <xf numFmtId="165" fontId="14" fillId="0" borderId="6" pivotButton="0" quotePrefix="0" xfId="0"/>
    <xf numFmtId="0" fontId="15" fillId="5" borderId="1" applyAlignment="1" pivotButton="0" quotePrefix="0" xfId="0">
      <alignment vertical="center"/>
    </xf>
    <xf numFmtId="166" fontId="5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0" fontId="14" fillId="3" borderId="3" applyAlignment="1" pivotButton="0" quotePrefix="0" xfId="0">
      <alignment horizontal="center" vertical="bottom" wrapText="1"/>
    </xf>
    <xf numFmtId="0" fontId="15" fillId="2" borderId="1" applyAlignment="1" pivotButton="0" quotePrefix="0" xfId="0">
      <alignment vertical="center"/>
    </xf>
    <xf numFmtId="0" fontId="1" fillId="0" borderId="0" pivotButton="0" quotePrefix="0" xfId="0"/>
    <xf numFmtId="165" fontId="26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 wrapText="1"/>
    </xf>
    <xf numFmtId="49" fontId="13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Protein breakdown</a:t>
            </a:r>
          </a:p>
        </rich>
      </tx>
      <overlay val="0"/>
    </title>
    <plotArea>
      <layout/>
      <barChart>
        <barDir val="col"/>
        <grouping val="percentStacked"/>
        <ser>
          <idx val="0"/>
          <order val="0"/>
          <tx>
            <strRef>
              <f>'Protein Tracker'!$A$11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Tracker'!$B$11</f>
              <numCache/>
            </numRef>
          </val>
        </ser>
        <ser>
          <idx val="1"/>
          <order val="1"/>
          <tx>
            <strRef>
              <f>'Protein Tracker'!$A$12</f>
            </strRef>
          </tx>
          <spPr>
            <a:solidFill xmlns:a="http://schemas.openxmlformats.org/drawingml/2006/main">
              <a:srgbClr val="D99694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Tracker'!$B$12</f>
              <numCache/>
            </numRef>
          </val>
        </ser>
        <ser>
          <idx val="2"/>
          <order val="2"/>
          <tx>
            <strRef>
              <f>'Protein Tracker'!$A$13</f>
            </strRef>
          </tx>
          <spPr>
            <a:solidFill xmlns:a="http://schemas.openxmlformats.org/drawingml/2006/main">
              <a:srgbClr val="A9D3A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Tracker'!$B$13</f>
              <numCache/>
            </numRef>
          </val>
        </ser>
        <ser>
          <idx val="3"/>
          <order val="3"/>
          <tx>
            <strRef>
              <f>'Protein Tracker'!$A$14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Tracker'!$B$14</f>
              <numCache/>
            </numRef>
          </val>
        </ser>
        <gapWidth val="150"/>
        <overlap val="100"/>
        <axId val="1358820277"/>
        <axId val="357803108"/>
      </barChart>
      <catAx>
        <axId val="135882027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357803108"/>
        <lblOffset val="100"/>
      </catAx>
      <valAx>
        <axId val="35780310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Share of protein</a:t>
                </a:r>
              </a:p>
            </rich>
          </tx>
          <overlay val="0"/>
        </title>
        <numFmt formatCode="0 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58820277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Detailed protein breakdown</a:t>
            </a:r>
          </a:p>
        </rich>
      </tx>
      <overlay val="0"/>
    </title>
    <plotArea>
      <layout/>
      <barChart>
        <barDir val="col"/>
        <grouping val="percentStacked"/>
        <ser>
          <idx val="0"/>
          <order val="0"/>
          <tx>
            <strRef>
              <f>'Protein Tracker'!$A$24</f>
            </strRef>
          </tx>
          <spPr>
            <a:solidFill xmlns:a="http://schemas.openxmlformats.org/drawingml/2006/main">
              <a:srgbClr val="7A0C0C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Tracker'!$B$24</f>
              <numCache/>
            </numRef>
          </val>
        </ser>
        <ser>
          <idx val="1"/>
          <order val="1"/>
          <tx>
            <strRef>
              <f>'Protein Tracker'!$A$25</f>
            </strRef>
          </tx>
          <spPr>
            <a:solidFill xmlns:a="http://schemas.openxmlformats.org/drawingml/2006/main">
              <a:srgbClr val="8C101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Tracker'!$B$25</f>
              <numCache/>
            </numRef>
          </val>
        </ser>
        <ser>
          <idx val="2"/>
          <order val="2"/>
          <tx>
            <strRef>
              <f>'Protein Tracker'!$A$26</f>
            </strRef>
          </tx>
          <spPr>
            <a:solidFill xmlns:a="http://schemas.openxmlformats.org/drawingml/2006/main">
              <a:srgbClr val="A3202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Tracker'!$B$26</f>
              <numCache/>
            </numRef>
          </val>
        </ser>
        <ser>
          <idx val="3"/>
          <order val="3"/>
          <tx>
            <strRef>
              <f>'Protein Tracker'!$A$27</f>
            </strRef>
          </tx>
          <spPr>
            <a:solidFill xmlns:a="http://schemas.openxmlformats.org/drawingml/2006/main">
              <a:srgbClr val="B82D2D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Tracker'!$B$27</f>
              <numCache/>
            </numRef>
          </val>
        </ser>
        <ser>
          <idx val="4"/>
          <order val="4"/>
          <tx>
            <strRef>
              <f>'Protein Tracker'!$A$28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Tracker'!$B$28</f>
              <numCache/>
            </numRef>
          </val>
        </ser>
        <ser>
          <idx val="5"/>
          <order val="5"/>
          <tx>
            <strRef>
              <f>'Protein Tracker'!$A$29</f>
            </strRef>
          </tx>
          <spPr>
            <a:solidFill xmlns:a="http://schemas.openxmlformats.org/drawingml/2006/main">
              <a:srgbClr val="CF3B3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Tracker'!$B$29</f>
              <numCache/>
            </numRef>
          </val>
        </ser>
        <ser>
          <idx val="6"/>
          <order val="6"/>
          <tx>
            <strRef>
              <f>'Protein Tracker'!$A$30</f>
            </strRef>
          </tx>
          <spPr>
            <a:solidFill xmlns:a="http://schemas.openxmlformats.org/drawingml/2006/main">
              <a:srgbClr val="DB5C5C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Tracker'!$B$30</f>
              <numCache/>
            </numRef>
          </val>
        </ser>
        <ser>
          <idx val="7"/>
          <order val="7"/>
          <tx>
            <strRef>
              <f>'Protein Tracker'!$A$31</f>
            </strRef>
          </tx>
          <spPr>
            <a:solidFill xmlns:a="http://schemas.openxmlformats.org/drawingml/2006/main">
              <a:srgbClr val="E67D7D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Tracker'!$B$31</f>
              <numCache/>
            </numRef>
          </val>
        </ser>
        <ser>
          <idx val="8"/>
          <order val="8"/>
          <tx>
            <strRef>
              <f>'Protein Tracker'!$A$33</f>
            </strRef>
          </tx>
          <spPr>
            <a:solidFill xmlns:a="http://schemas.openxmlformats.org/drawingml/2006/main">
              <a:srgbClr val="EF9E9E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Tracker'!$B$33</f>
              <numCache/>
            </numRef>
          </val>
        </ser>
        <ser>
          <idx val="9"/>
          <order val="9"/>
          <tx>
            <strRef>
              <f>'Protein Tracker'!$A$34</f>
            </strRef>
          </tx>
          <spPr>
            <a:solidFill xmlns:a="http://schemas.openxmlformats.org/drawingml/2006/main">
              <a:srgbClr val="EF9E9E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Tracker'!$B$34</f>
              <numCache/>
            </numRef>
          </val>
        </ser>
        <ser>
          <idx val="10"/>
          <order val="10"/>
          <tx>
            <strRef>
              <f>'Protein Tracker'!$A$35</f>
            </strRef>
          </tx>
          <spPr>
            <a:solidFill xmlns:a="http://schemas.openxmlformats.org/drawingml/2006/main">
              <a:srgbClr val="B96A68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Tracker'!$B$35</f>
              <numCache/>
            </numRef>
          </val>
        </ser>
        <ser>
          <idx val="11"/>
          <order val="11"/>
          <tx>
            <strRef>
              <f>'Protein Tracker'!$A$36</f>
            </strRef>
          </tx>
          <spPr>
            <a:solidFill xmlns:a="http://schemas.openxmlformats.org/drawingml/2006/main">
              <a:srgbClr val="C97A78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Tracker'!$B$36</f>
              <numCache/>
            </numRef>
          </val>
        </ser>
        <ser>
          <idx val="12"/>
          <order val="12"/>
          <tx>
            <strRef>
              <f>'Protein Tracker'!$A$37</f>
            </strRef>
          </tx>
          <spPr>
            <a:solidFill xmlns:a="http://schemas.openxmlformats.org/drawingml/2006/main">
              <a:srgbClr val="D99694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Tracker'!$B$37</f>
              <numCache/>
            </numRef>
          </val>
        </ser>
        <ser>
          <idx val="13"/>
          <order val="13"/>
          <tx>
            <strRef>
              <f>'Protein Tracker'!$A$38</f>
            </strRef>
          </tx>
          <spPr>
            <a:solidFill xmlns:a="http://schemas.openxmlformats.org/drawingml/2006/main">
              <a:srgbClr val="DEA2A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Tracker'!$B$38</f>
              <numCache/>
            </numRef>
          </val>
        </ser>
        <ser>
          <idx val="14"/>
          <order val="14"/>
          <tx>
            <strRef>
              <f>'Protein Tracker'!$A$39</f>
            </strRef>
          </tx>
          <spPr>
            <a:solidFill xmlns:a="http://schemas.openxmlformats.org/drawingml/2006/main">
              <a:srgbClr val="E3ADA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Tracker'!$B$39</f>
              <numCache/>
            </numRef>
          </val>
        </ser>
        <gapWidth val="150"/>
        <overlap val="100"/>
        <axId val="187013292"/>
        <axId val="1379338344"/>
      </barChart>
      <catAx>
        <axId val="18701329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79338344"/>
        <lblOffset val="100"/>
      </catAx>
      <valAx>
        <axId val="137933834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Share of protein</a:t>
                </a:r>
              </a:p>
            </rich>
          </tx>
          <overlay val="0"/>
        </title>
        <numFmt formatCode="0 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7013292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Protein by food group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WWF!$D$71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WWF!$A$72:$A$78</f>
            </strRef>
          </cat>
          <val>
            <numRef>
              <f>WWF!$D$72:$D$78</f>
              <numCache/>
            </numRef>
          </val>
        </ser>
        <ser>
          <idx val="1"/>
          <order val="1"/>
          <tx>
            <strRef>
              <f>WWF!$E$71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WWF!$A$72:$A$78</f>
            </strRef>
          </cat>
          <val>
            <numRef>
              <f>WWF!$E$72:$E$78</f>
              <numCache/>
            </numRef>
          </val>
        </ser>
        <gapWidth val="150"/>
        <overlap val="100"/>
        <axId val="218227543"/>
        <axId val="1776868756"/>
      </barChart>
      <catAx>
        <axId val="21822754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776868756"/>
        <lblOffset val="100"/>
      </catAx>
      <valAx>
        <axId val="1776868756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18227543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15 categories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category'!$D$27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category'!$A$28:$A$42</f>
            </strRef>
          </cat>
          <val>
            <numRef>
              <f>'By category'!$D$28:$D$42</f>
              <numCache/>
            </numRef>
          </val>
        </ser>
        <ser>
          <idx val="1"/>
          <order val="1"/>
          <tx>
            <strRef>
              <f>'By category'!$E$27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category'!$A$28:$A$42</f>
            </strRef>
          </cat>
          <val>
            <numRef>
              <f>'By category'!$E$28:$E$42</f>
              <numCache/>
            </numRef>
          </val>
        </ser>
        <gapWidth val="150"/>
        <overlap val="100"/>
        <axId val="1829325091"/>
        <axId val="650734471"/>
      </barChart>
      <catAx>
        <axId val="182932509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650734471"/>
        <lblOffset val="100"/>
      </catAx>
      <valAx>
        <axId val="65073447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29325091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12 departments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department'!$D$3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department'!$A$4:$A$15</f>
            </strRef>
          </cat>
          <val>
            <numRef>
              <f>'By department'!$D$4:$D$15</f>
              <numCache/>
            </numRef>
          </val>
        </ser>
        <ser>
          <idx val="1"/>
          <order val="1"/>
          <tx>
            <strRef>
              <f>'By department'!$E$3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department'!$A$4:$A$15</f>
            </strRef>
          </cat>
          <val>
            <numRef>
              <f>'By department'!$E$4:$E$15</f>
              <numCache/>
            </numRef>
          </val>
        </ser>
        <gapWidth val="150"/>
        <overlap val="100"/>
        <axId val="464443222"/>
        <axId val="107979559"/>
      </barChart>
      <catAx>
        <axId val="46444322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7979559"/>
        <lblOffset val="100"/>
      </catAx>
      <valAx>
        <axId val="10797955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464443222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10 brands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brand'!$D$3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brand'!$A$4:$A$13</f>
            </strRef>
          </cat>
          <val>
            <numRef>
              <f>'By brand'!$D$4:$D$13</f>
              <numCache/>
            </numRef>
          </val>
        </ser>
        <ser>
          <idx val="1"/>
          <order val="1"/>
          <tx>
            <strRef>
              <f>'By brand'!$E$3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brand'!$A$4:$A$13</f>
            </strRef>
          </cat>
          <val>
            <numRef>
              <f>'By brand'!$E$4:$E$13</f>
              <numCache/>
            </numRef>
          </val>
        </ser>
        <gapWidth val="150"/>
        <overlap val="100"/>
        <axId val="1288577946"/>
        <axId val="1068537724"/>
      </barChart>
      <catAx>
        <axId val="128857794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68537724"/>
        <lblOffset val="100"/>
      </catAx>
      <valAx>
        <axId val="106853772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88577946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28575</colOff>
      <row>0</row>
      <rowOff>285750</rowOff>
    </from>
    <ext cx="1676400" cy="666750"/>
    <pic>
      <nvPicPr>
        <cNvPr id="0" name="image3.png" descr="Picture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28575</colOff>
      <row>0</row>
      <rowOff>133350</rowOff>
    </from>
    <ext cx="866775" cy="8667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981075</colOff>
      <row>0</row>
      <rowOff>133350</rowOff>
    </from>
    <ext cx="990600" cy="81915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8</col>
      <colOff>247650</colOff>
      <row>1</row>
      <rowOff>180975</rowOff>
    </from>
    <ext cx="46767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7</col>
      <colOff>476250</colOff>
      <row>21</row>
      <rowOff>371475</rowOff>
    </from>
    <ext cx="5391150" cy="79152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85</row>
      <rowOff>0</rowOff>
    </from>
    <ext cx="7191375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27</row>
      <rowOff>0</rowOff>
    </from>
    <ext cx="8639175" cy="78390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2</row>
      <rowOff>0</rowOff>
    </from>
    <ext cx="86391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6.xml><?xml version="1.0" encoding="utf-8"?>
<wsDr xmlns="http://schemas.openxmlformats.org/drawingml/2006/spreadsheetDrawing">
  <oneCellAnchor>
    <from>
      <col>8</col>
      <colOff>0</colOff>
      <row>2</row>
      <rowOff>0</rowOff>
    </from>
    <ext cx="86391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"/>
  <sheetViews>
    <sheetView showGridLines="0" workbookViewId="0">
      <selection activeCell="A1" sqref="A1"/>
    </sheetView>
  </sheetViews>
  <sheetFormatPr baseColWidth="8" defaultColWidth="14.43" defaultRowHeight="15" customHeight="1"/>
  <cols>
    <col width="24" customWidth="1" style="67" min="1" max="1"/>
    <col width="30" customWidth="1" style="67" min="2" max="2"/>
    <col width="33.86" customWidth="1" style="67" min="3" max="3"/>
    <col width="22" customWidth="1" style="67" min="4" max="4"/>
    <col width="16" customWidth="1" style="67" min="5" max="5"/>
    <col width="8.710000000000001" customWidth="1" style="67" min="6" max="24"/>
  </cols>
  <sheetData>
    <row r="1" ht="30" customHeight="1" s="67">
      <c r="A1" s="64" t="inlineStr">
        <is>
          <t xml:space="preserve"> </t>
        </is>
      </c>
      <c r="C1" s="2" t="inlineStr">
        <is>
          <t>PROTEIN RATIO
Harbour Market catalogue</t>
        </is>
      </c>
    </row>
    <row r="2" ht="30" customHeight="1" s="67"/>
    <row r="3" ht="30" customHeight="1" s="67"/>
    <row r="4" ht="30" customHeight="1" s="67">
      <c r="C4" s="2" t="n"/>
      <c r="D4" s="2" t="n"/>
      <c r="E4" s="2" t="n"/>
    </row>
    <row r="5" ht="15.75" customHeight="1" s="67">
      <c r="A5" s="3" t="inlineStr">
        <is>
          <t xml:space="preserve">  HARBOUR MARKET · CATALOGUE 2026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 ht="30" customHeight="1" s="67">
      <c r="A6" s="66" t="inlineStr">
        <is>
          <t>30 products from your catalogue file, each classified for WWF and for the Protein Tracker. Protein contents: your declared values, then the Altera reference database, Open Food Facts (ODbL), NEVO and CIQUAL.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 ht="15.75" customHeight="1" s="6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 ht="28" customHeight="1" s="67">
      <c r="A8" s="7" t="inlineStr">
        <is>
          <t>What this workbook contains</t>
        </is>
      </c>
      <c r="B8" s="8" t="inlineStr">
        <is>
          <t>The share of the protein you put on the market that is plant-based, and how it breaks down.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 ht="15.75" customHeight="1" s="67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 ht="15.75" customHeight="1" s="67">
      <c r="A10" s="7" t="inlineStr">
        <is>
          <t>How to use it</t>
        </is>
      </c>
      <c r="B10" s="8" t="inlineStr">
        <is>
          <t>Enter your sales volumes in the yellow column, further down this page. All tabs recalculate automatically.</t>
        </is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 ht="15.75" customHeight="1" s="67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 ht="15.75" customHeight="1" s="67">
      <c r="A12" s="7" t="inlineStr">
        <is>
          <t>Your volumes</t>
        </is>
      </c>
      <c r="B12" s="8" t="inlineStr">
        <is>
          <t>Units sold over twelve months, from your file: type others over them and every tab recalculates.</t>
        </is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 ht="15.75" customHeight="1" s="67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 ht="17" customHeight="1" s="67">
      <c r="A14" s="9" t="inlineStr">
        <is>
          <t>ACCURACY</t>
        </is>
      </c>
      <c r="B14" s="68" t="inlineStr">
        <is>
          <t>Measured
by hand</t>
        </is>
      </c>
      <c r="C14" s="8" t="inlineStr">
        <is>
          <t>Measured on your own catalogue, one rate per field, on a control sample sealed before review:
• 500 products drawn at random
• the 500 heaviest products in tonnes of protein
• the 3 best sellers of every category
Reviewed by hand, row by row.</t>
        </is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 ht="17" customHeight="1" s="67">
      <c r="A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 ht="17" customHeight="1" s="67">
      <c r="A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 ht="17" customHeight="1" s="67">
      <c r="A17" s="5" t="n"/>
      <c r="B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 ht="17" customHeight="1" s="67">
      <c r="A18" s="5" t="n"/>
      <c r="B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 ht="15.75" customHeight="1" s="67">
      <c r="A19" s="9" t="inlineStr">
        <is>
          <t>THE TABS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 ht="15.75" customHeight="1" s="67">
      <c r="A20" s="11" t="inlineStr">
        <is>
          <t>Protein Tracker</t>
        </is>
      </c>
      <c r="B20" s="12" t="inlineStr">
        <is>
          <t>the ratio and the four classes of the GPA methodology</t>
        </is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 ht="15.75" customHeight="1" s="67">
      <c r="A21" s="13" t="inlineStr">
        <is>
          <t>WWF</t>
        </is>
      </c>
      <c r="B21" s="50" t="inlineStr">
        <is>
          <t>the seven food groups, whole versus composite, the detail by subgroup</t>
        </is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 ht="15.75" customHeight="1" s="67">
      <c r="A22" s="13" t="inlineStr">
        <is>
          <t>By category</t>
        </is>
      </c>
      <c r="B22" s="50" t="inlineStr">
        <is>
          <t>the WWF sub-groups and the 28 retailer categories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 ht="15.75" customHeight="1" s="67">
      <c r="A23" s="13" t="inlineStr">
        <is>
          <t>By department</t>
        </is>
      </c>
      <c r="B23" s="50" t="inlineStr">
        <is>
          <t>the 15 departments</t>
        </is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 ht="15.75" customHeight="1" s="67">
      <c r="A24" s="13" t="inlineStr">
        <is>
          <t>By brand</t>
        </is>
      </c>
      <c r="B24" s="50" t="inlineStr">
        <is>
          <t>the 30 brands</t>
        </is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 ht="15.75" customHeight="1" s="67">
      <c r="A25" s="13" t="inlineStr">
        <is>
          <t>By product</t>
        </is>
      </c>
      <c r="B25" s="50" t="inlineStr">
        <is>
          <t>the 10 products carrying the most plant protein and the 10 carrying the most animal protein</t>
        </is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 ht="15.75" customHeight="1" s="67">
      <c r="A26" s="13" t="inlineStr">
        <is>
          <t>Data</t>
        </is>
      </c>
      <c r="B26" s="50" t="inlineStr">
        <is>
          <t>one row per product, 30 in total</t>
        </is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 ht="15.75" customHeight="1" s="6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 ht="15.75" customHeight="1" s="67"/>
    <row r="29" ht="15.75" customHeight="1" s="67"/>
    <row r="30" ht="25.5" customHeight="1" s="67">
      <c r="A30" s="16" t="inlineStr">
        <is>
          <t xml:space="preserve">  YOUR SALES VOLUMES · enter them in the yellow column</t>
        </is>
      </c>
    </row>
    <row r="31" ht="15.75" customHeight="1" s="67">
      <c r="A31" s="54" t="inlineStr">
        <is>
          <t>Sorted by sales rank: item 1 is the one that sells the most.</t>
        </is>
      </c>
    </row>
    <row r="32" ht="30" customHeight="1" s="67">
      <c r="A32" s="19" t="inlineStr">
        <is>
          <t>Sales rank</t>
        </is>
      </c>
      <c r="B32" s="19" t="inlineStr">
        <is>
          <t>EAN 13</t>
        </is>
      </c>
      <c r="C32" s="19" t="inlineStr">
        <is>
          <t>Product</t>
        </is>
      </c>
      <c r="D32" s="19" t="inlineStr">
        <is>
          <t>Volume sold (units)</t>
        </is>
      </c>
      <c r="E32" s="20" t="n"/>
    </row>
    <row r="33" ht="15.75" customHeight="1" s="67">
      <c r="A33" s="21" t="n">
        <v>1</v>
      </c>
      <c r="B33" s="69" t="inlineStr">
        <is>
          <t>3428273980046</t>
        </is>
      </c>
      <c r="C33" s="54" t="inlineStr">
        <is>
          <t>Matin Léger semi-skimmed milk, 1 L</t>
        </is>
      </c>
      <c r="D33" s="22" t="n">
        <v>612000</v>
      </c>
    </row>
    <row r="34" ht="15.75" customHeight="1" s="67">
      <c r="A34" s="21" t="n">
        <v>2</v>
      </c>
      <c r="B34" s="69" t="inlineStr">
        <is>
          <t>5449000214911</t>
        </is>
      </c>
      <c r="C34" s="54" t="inlineStr">
        <is>
          <t>Coca-Cola Original, 33 cl</t>
        </is>
      </c>
      <c r="D34" s="22" t="n">
        <v>296000</v>
      </c>
    </row>
    <row r="35" ht="15.75" customHeight="1" s="67">
      <c r="A35" s="21" t="n">
        <v>3</v>
      </c>
      <c r="B35" s="69" t="inlineStr">
        <is>
          <t>8076800195057</t>
        </is>
      </c>
      <c r="C35" s="54" t="inlineStr">
        <is>
          <t>Spaghetti n°5, 500 g</t>
        </is>
      </c>
      <c r="D35" s="22" t="n">
        <v>254000</v>
      </c>
    </row>
    <row r="36" ht="15.75" customHeight="1" s="67">
      <c r="A36" s="21" t="n">
        <v>4</v>
      </c>
      <c r="B36" s="69" t="inlineStr">
        <is>
          <t>3154230809302</t>
        </is>
      </c>
      <c r="C36" s="54" t="inlineStr">
        <is>
          <t>Le Bon Paris cooked ham, 4 slices</t>
        </is>
      </c>
      <c r="D36" s="22" t="n">
        <v>228000</v>
      </c>
    </row>
    <row r="37" ht="15.75" customHeight="1" s="67">
      <c r="A37" s="21" t="n">
        <v>5</v>
      </c>
      <c r="B37" s="69" t="inlineStr">
        <is>
          <t>3251320080617</t>
        </is>
      </c>
      <c r="C37" s="54" t="inlineStr">
        <is>
          <t>6 free-range eggs, Label Rouge</t>
        </is>
      </c>
      <c r="D37" s="22" t="n">
        <v>214000</v>
      </c>
    </row>
    <row r="38" ht="15.75" customHeight="1" s="67">
      <c r="A38" s="21" t="n">
        <v>6</v>
      </c>
      <c r="B38" s="69" t="inlineStr">
        <is>
          <t>3181232220286</t>
        </is>
      </c>
      <c r="C38" s="54" t="inlineStr">
        <is>
          <t>Minced beef patties 5% fat, 2 × 130 g</t>
        </is>
      </c>
      <c r="D38" s="22" t="n">
        <v>186000</v>
      </c>
    </row>
    <row r="39" ht="15.75" customHeight="1" s="67">
      <c r="A39" s="21" t="n">
        <v>7</v>
      </c>
      <c r="B39" s="69" t="inlineStr">
        <is>
          <t>3119780259625</t>
        </is>
      </c>
      <c r="C39" s="54" t="inlineStr">
        <is>
          <t>Heineken lager, 33 cl</t>
        </is>
      </c>
      <c r="D39" s="22" t="n">
        <v>180000</v>
      </c>
    </row>
    <row r="40" ht="15.75" customHeight="1" s="67">
      <c r="A40" s="21" t="n">
        <v>8</v>
      </c>
      <c r="B40" s="69" t="inlineStr">
        <is>
          <t>3228857000852</t>
        </is>
      </c>
      <c r="C40" s="54" t="inlineStr">
        <is>
          <t>Crustless white sandwich bread, 500 g</t>
        </is>
      </c>
      <c r="D40" s="22" t="n">
        <v>167000</v>
      </c>
    </row>
    <row r="41" ht="15.75" customHeight="1" s="67">
      <c r="A41" s="21" t="n">
        <v>9</v>
      </c>
      <c r="B41" s="69" t="inlineStr">
        <is>
          <t>3033491147067</t>
        </is>
      </c>
      <c r="C41" s="54" t="inlineStr">
        <is>
          <t>Activia natural yogurt, 4 × 125 g</t>
        </is>
      </c>
      <c r="D41" s="22" t="n">
        <v>164000</v>
      </c>
    </row>
    <row r="42" ht="15.75" customHeight="1" s="67">
      <c r="A42" s="21" t="n">
        <v>10</v>
      </c>
      <c r="B42" s="69" t="inlineStr">
        <is>
          <t>3266980891411</t>
        </is>
      </c>
      <c r="C42" s="54" t="inlineStr">
        <is>
          <t>Chicken breast fillets, 300 g</t>
        </is>
      </c>
      <c r="D42" s="22" t="n">
        <v>142000</v>
      </c>
    </row>
    <row r="43" ht="15.75" customHeight="1" s="67">
      <c r="A43" s="21" t="n">
        <v>11</v>
      </c>
      <c r="B43" s="69" t="inlineStr">
        <is>
          <t>3017620422003</t>
        </is>
      </c>
      <c r="C43" s="54" t="inlineStr">
        <is>
          <t>Nutella hazelnut spread, 400 g</t>
        </is>
      </c>
      <c r="D43" s="22" t="n">
        <v>139000</v>
      </c>
    </row>
    <row r="44" ht="15.75" customHeight="1" s="67">
      <c r="A44" s="21" t="n">
        <v>12</v>
      </c>
      <c r="B44" s="69" t="inlineStr">
        <is>
          <t>3412290015980</t>
        </is>
      </c>
      <c r="C44" s="54" t="inlineStr">
        <is>
          <t>Unsalted butter, 250 g</t>
        </is>
      </c>
      <c r="D44" s="22" t="n">
        <v>131000</v>
      </c>
    </row>
    <row r="45" ht="15.75" customHeight="1" s="67">
      <c r="A45" s="21" t="n">
        <v>13</v>
      </c>
      <c r="B45" s="69" t="inlineStr">
        <is>
          <t>3228021170039</t>
        </is>
      </c>
      <c r="C45" s="54" t="inlineStr">
        <is>
          <t>Camembert, 250 g</t>
        </is>
      </c>
      <c r="D45" s="22" t="n">
        <v>118000</v>
      </c>
    </row>
    <row r="46" ht="15.75" customHeight="1" s="67">
      <c r="A46" s="21" t="n">
        <v>14</v>
      </c>
      <c r="B46" s="69" t="inlineStr">
        <is>
          <t>5053990155354</t>
        </is>
      </c>
      <c r="C46" s="54" t="inlineStr">
        <is>
          <t>Pringles Sour Cream &amp; Onion, 175 g</t>
        </is>
      </c>
      <c r="D46" s="22" t="n">
        <v>102000</v>
      </c>
    </row>
    <row r="47" ht="15.75" customHeight="1" s="67">
      <c r="A47" s="21" t="n">
        <v>15</v>
      </c>
      <c r="B47" s="69" t="inlineStr">
        <is>
          <t>3168930167983</t>
        </is>
      </c>
      <c r="C47" s="54" t="inlineStr">
        <is>
          <t>Ready salted crisps, 155 g</t>
        </is>
      </c>
      <c r="D47" s="22" t="n">
        <v>97000</v>
      </c>
    </row>
    <row r="48" ht="15.75" customHeight="1" s="67">
      <c r="A48" s="21" t="n">
        <v>16</v>
      </c>
      <c r="B48" s="69" t="inlineStr">
        <is>
          <t>3019081239237</t>
        </is>
      </c>
      <c r="C48" s="54" t="inlineStr">
        <is>
          <t>Whole tuna in brine, 160 g</t>
        </is>
      </c>
      <c r="D48" s="22" t="n">
        <v>96000</v>
      </c>
    </row>
    <row r="49" ht="15.75" customHeight="1" s="67">
      <c r="A49" s="21" t="n">
        <v>17</v>
      </c>
      <c r="B49" s="69" t="inlineStr">
        <is>
          <t>8005110860508</t>
        </is>
      </c>
      <c r="C49" s="54" t="inlineStr">
        <is>
          <t>Passata di pomodoro, sieved tomatoes, 500 g</t>
        </is>
      </c>
      <c r="D49" s="22" t="n">
        <v>92000</v>
      </c>
    </row>
    <row r="50" ht="15.75" customHeight="1" s="67">
      <c r="A50" s="21" t="n">
        <v>18</v>
      </c>
      <c r="B50" s="69" t="inlineStr">
        <is>
          <t>3017800078662</t>
        </is>
      </c>
      <c r="C50" s="54" t="inlineStr">
        <is>
          <t>Extra fine garden peas, 280 g</t>
        </is>
      </c>
      <c r="D50" s="22" t="n">
        <v>73000</v>
      </c>
    </row>
    <row r="51" ht="15.75" customHeight="1" s="67">
      <c r="A51" s="21" t="n">
        <v>19</v>
      </c>
      <c r="B51" s="69" t="inlineStr">
        <is>
          <t>7613034223852</t>
        </is>
      </c>
      <c r="C51" s="54" t="inlineStr">
        <is>
          <t>Fraîch'Up four-cheese pizza, 600 g</t>
        </is>
      </c>
      <c r="D51" s="22" t="n">
        <v>71000</v>
      </c>
    </row>
    <row r="52" ht="15.75" customHeight="1" s="67">
      <c r="A52" s="21" t="n">
        <v>20</v>
      </c>
      <c r="B52" s="69" t="inlineStr">
        <is>
          <t>7322540819342</t>
        </is>
      </c>
      <c r="C52" s="54" t="inlineStr">
        <is>
          <t>Aqua Tube toilet tissue, 12 rolls</t>
        </is>
      </c>
      <c r="D52" s="22" t="n">
        <v>64000</v>
      </c>
    </row>
    <row r="53" ht="15.75" customHeight="1" s="67">
      <c r="A53" s="21" t="n">
        <v>21</v>
      </c>
      <c r="B53" s="69" t="inlineStr">
        <is>
          <t>5411188079996</t>
        </is>
      </c>
      <c r="C53" s="54" t="inlineStr">
        <is>
          <t>Soy drink, no sugars, 1 L</t>
        </is>
      </c>
      <c r="D53" s="22" t="n">
        <v>61000</v>
      </c>
    </row>
    <row r="54" ht="15.75" customHeight="1" s="67">
      <c r="A54" s="21" t="n">
        <v>22</v>
      </c>
      <c r="B54" s="69" t="inlineStr">
        <is>
          <t>3265471024086</t>
        </is>
      </c>
      <c r="C54" s="54" t="inlineStr">
        <is>
          <t>Cœur de Tournesol sunflower oil, 1 L</t>
        </is>
      </c>
      <c r="D54" s="22" t="n">
        <v>58000</v>
      </c>
    </row>
    <row r="55" ht="15.75" customHeight="1" s="67">
      <c r="A55" s="21" t="n">
        <v>23</v>
      </c>
      <c r="B55" s="69" t="inlineStr">
        <is>
          <t>3166352968591</t>
        </is>
      </c>
      <c r="C55" s="54" t="inlineStr">
        <is>
          <t>Beef lasagne bolognese, 300 g</t>
        </is>
      </c>
      <c r="D55" s="22" t="n">
        <v>58000</v>
      </c>
    </row>
    <row r="56" ht="15.75" customHeight="1" s="67">
      <c r="A56" s="21" t="n">
        <v>24</v>
      </c>
      <c r="B56" s="69" t="inlineStr">
        <is>
          <t>7394376616228</t>
        </is>
      </c>
      <c r="C56" s="54" t="inlineStr">
        <is>
          <t>Barista oat drink, 1 L</t>
        </is>
      </c>
      <c r="D56" s="22" t="n">
        <v>52000</v>
      </c>
    </row>
    <row r="57" ht="15.75" customHeight="1" s="67">
      <c r="A57" s="21" t="n">
        <v>25</v>
      </c>
      <c r="B57" s="69" t="inlineStr">
        <is>
          <t>3083681085891</t>
        </is>
      </c>
      <c r="C57" s="54" t="inlineStr">
        <is>
          <t>Steamed lentils, 265 g</t>
        </is>
      </c>
      <c r="D57" s="22" t="n">
        <v>47000</v>
      </c>
    </row>
    <row r="58" ht="15.75" customHeight="1" s="67">
      <c r="A58" s="21" t="n">
        <v>26</v>
      </c>
      <c r="B58" s="69" t="inlineStr">
        <is>
          <t>7613034897930</t>
        </is>
      </c>
      <c r="C58" s="54" t="inlineStr">
        <is>
          <t>Instant mashed potato, plain, 4 × 130 g</t>
        </is>
      </c>
      <c r="D58" s="22" t="n">
        <v>44000</v>
      </c>
    </row>
    <row r="59" ht="15.75" customHeight="1" s="67">
      <c r="A59" s="21" t="n">
        <v>27</v>
      </c>
      <c r="B59" s="69" t="inlineStr">
        <is>
          <t>8710100426588</t>
        </is>
      </c>
      <c r="C59" s="54" t="inlineStr">
        <is>
          <t>Rolled oats, 800 g</t>
        </is>
      </c>
      <c r="D59" s="22" t="n">
        <v>39000</v>
      </c>
    </row>
    <row r="60" ht="15.75" customHeight="1" s="67">
      <c r="A60" s="21" t="n">
        <v>28</v>
      </c>
      <c r="B60" s="69" t="inlineStr">
        <is>
          <t>7613037398083</t>
        </is>
      </c>
      <c r="C60" s="54" t="inlineStr">
        <is>
          <t>Sensational soy mince, 200 g</t>
        </is>
      </c>
      <c r="D60" s="22" t="n">
        <v>24000</v>
      </c>
    </row>
    <row r="61" ht="15.75" customHeight="1" s="67">
      <c r="A61" s="21" t="n">
        <v>29</v>
      </c>
      <c r="B61" s="69" t="inlineStr">
        <is>
          <t>4008258074008</t>
        </is>
      </c>
      <c r="C61" s="54" t="inlineStr">
        <is>
          <t>Roasted almonds, 150 g</t>
        </is>
      </c>
      <c r="D61" s="22" t="n">
        <v>18500</v>
      </c>
    </row>
    <row r="62" ht="15.75" customHeight="1" s="67">
      <c r="A62" s="21" t="n">
        <v>30</v>
      </c>
      <c r="B62" s="69" t="inlineStr">
        <is>
          <t>4012359144003</t>
        </is>
      </c>
      <c r="C62" s="54" t="inlineStr">
        <is>
          <t>Japanese-style tofu fillets, 160 g</t>
        </is>
      </c>
      <c r="D62" s="22" t="n">
        <v>9800</v>
      </c>
    </row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autoFilter ref="$A$32:$D$82">
    <sortState ref="A32:D82">
      <sortCondition ref="B32:B82"/>
    </sortState>
  </autoFilter>
  <mergeCells count="17">
    <mergeCell ref="A30:E30"/>
    <mergeCell ref="C14:E18"/>
    <mergeCell ref="B26:E26"/>
    <mergeCell ref="B23:E23"/>
    <mergeCell ref="B8:E8"/>
    <mergeCell ref="B12:E12"/>
    <mergeCell ref="C1:E3"/>
    <mergeCell ref="B21:E21"/>
    <mergeCell ref="B14:B16"/>
    <mergeCell ref="A5:E5"/>
    <mergeCell ref="B25:E25"/>
    <mergeCell ref="B24:E24"/>
    <mergeCell ref="B20:E20"/>
    <mergeCell ref="A6:E6"/>
    <mergeCell ref="A31:E31"/>
    <mergeCell ref="B22:E22"/>
    <mergeCell ref="B10:E10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selection activeCell="A1" sqref="A1"/>
    </sheetView>
  </sheetViews>
  <sheetFormatPr baseColWidth="8" defaultColWidth="14.43" defaultRowHeight="15" customHeight="1"/>
  <cols>
    <col width="42" customWidth="1" style="67" min="1" max="1"/>
    <col width="15" customWidth="1" style="67" min="2" max="7"/>
  </cols>
  <sheetData>
    <row r="1" ht="25.5" customHeight="1" s="67">
      <c r="A1" s="58" t="inlineStr">
        <is>
          <t xml:space="preserve">  PROTEIN TRACKER · Green Protein Alliance</t>
        </is>
      </c>
    </row>
    <row r="2"/>
    <row r="3" ht="21.75" customHeight="1" s="67">
      <c r="A3" s="38" t="inlineStr">
        <is>
          <t>Plant share of protein</t>
        </is>
      </c>
      <c r="C3" s="41">
        <f>IF(SUMIFS(Data!$S$2:$S$31,Data!$K$2:$K$31,"&lt;&gt;not applicable")+SUMIFS(Data!$T$2:$T$31,Data!$K$2:$K$31,"&lt;&gt;not applicable")=0,"",SUMIFS(Data!$S$2:$S$31,Data!$K$2:$K$31,"&lt;&gt;not applicable")/(SUMIFS(Data!$S$2:$S$31,Data!$K$2:$K$31,"&lt;&gt;not applicable")+SUMIFS(Data!$T$2:$T$31,Data!$K$2:$K$31,"&lt;&gt;not applicable")))</f>
        <v/>
      </c>
    </row>
    <row r="4" ht="21.75" customHeight="1" s="67">
      <c r="A4" s="42" t="inlineStr">
        <is>
          <t>across the Protein Tracker scope</t>
        </is>
      </c>
    </row>
    <row r="5"/>
    <row r="6">
      <c r="A6" s="54" t="inlineStr">
        <is>
          <t>Each product falls into one class and only one. The four classes below cover the whole scope.</t>
        </is>
      </c>
    </row>
    <row r="7"/>
    <row r="8" ht="21.75" customHeight="1" s="67">
      <c r="A8" s="26" t="inlineStr">
        <is>
          <t xml:space="preserve">  THE FOUR CLASSES</t>
        </is>
      </c>
    </row>
    <row r="9"/>
    <row r="10" ht="30" customHeight="1" s="67">
      <c r="A10" s="19" t="n"/>
      <c r="B10" s="20" t="inlineStr">
        <is>
          <t>Protein (t)</t>
        </is>
      </c>
      <c r="C10" s="20" t="inlineStr">
        <is>
          <t>Share</t>
        </is>
      </c>
    </row>
    <row r="11">
      <c r="A11" s="43" t="inlineStr">
        <is>
          <t>Animal core</t>
        </is>
      </c>
      <c r="B11" s="28">
        <f>(SUMIFS(Data!$S$2:$S$31,Data!$K$2:$K$31,"animal_core")+SUMIFS(Data!$T$2:$T$31,Data!$K$2:$K$31,"animal_core"))/1000</f>
        <v/>
      </c>
      <c r="C11" s="32">
        <f>IF((SUMIFS(Data!$S$2:$S$31,Data!$K$2:$K$31,"&lt;&gt;not applicable")+SUMIFS(Data!$T$2:$T$31,Data!$K$2:$K$31,"&lt;&gt;not applicable"))=0,"",B11*1000/(SUMIFS(Data!$S$2:$S$31,Data!$K$2:$K$31,"&lt;&gt;not applicable")+SUMIFS(Data!$T$2:$T$31,Data!$K$2:$K$31,"&lt;&gt;not applicable")))</f>
        <v/>
      </c>
    </row>
    <row r="12">
      <c r="A12" s="31" t="inlineStr">
        <is>
          <t>Animal and plant composite</t>
        </is>
      </c>
      <c r="B12" s="28">
        <f>(SUMIFS(Data!$S$2:$S$31,Data!$K$2:$K$31,"animal-plant-based composite")+SUMIFS(Data!$T$2:$T$31,Data!$K$2:$K$31,"animal-plant-based composite"))/1000</f>
        <v/>
      </c>
      <c r="C12" s="32">
        <f>IF((SUMIFS(Data!$S$2:$S$31,Data!$K$2:$K$31,"&lt;&gt;not applicable")+SUMIFS(Data!$T$2:$T$31,Data!$K$2:$K$31,"&lt;&gt;not applicable"))=0,"",B12*1000/(SUMIFS(Data!$S$2:$S$31,Data!$K$2:$K$31,"&lt;&gt;not applicable")+SUMIFS(Data!$T$2:$T$31,Data!$K$2:$K$31,"&lt;&gt;not applicable")))</f>
        <v/>
      </c>
    </row>
    <row r="13">
      <c r="A13" s="31" t="inlineStr">
        <is>
          <t>Plant-based non-core</t>
        </is>
      </c>
      <c r="B13" s="28">
        <f>(SUMIFS(Data!$S$2:$S$31,Data!$K$2:$K$31,"plant_non_core")+SUMIFS(Data!$T$2:$T$31,Data!$K$2:$K$31,"plant_non_core"))/1000</f>
        <v/>
      </c>
      <c r="C13" s="32">
        <f>IF((SUMIFS(Data!$S$2:$S$31,Data!$K$2:$K$31,"&lt;&gt;not applicable")+SUMIFS(Data!$T$2:$T$31,Data!$K$2:$K$31,"&lt;&gt;not applicable"))=0,"",B13*1000/(SUMIFS(Data!$S$2:$S$31,Data!$K$2:$K$31,"&lt;&gt;not applicable")+SUMIFS(Data!$T$2:$T$31,Data!$K$2:$K$31,"&lt;&gt;not applicable")))</f>
        <v/>
      </c>
    </row>
    <row r="14">
      <c r="A14" s="31" t="inlineStr">
        <is>
          <t>Plant-based core</t>
        </is>
      </c>
      <c r="B14" s="28">
        <f>(SUMIFS(Data!$S$2:$S$31,Data!$K$2:$K$31,"plant_core")+SUMIFS(Data!$T$2:$T$31,Data!$K$2:$K$31,"plant_core"))/1000</f>
        <v/>
      </c>
      <c r="C14" s="32">
        <f>IF((SUMIFS(Data!$S$2:$S$31,Data!$K$2:$K$31,"&lt;&gt;not applicable")+SUMIFS(Data!$T$2:$T$31,Data!$K$2:$K$31,"&lt;&gt;not applicable"))=0,"",B14*1000/(SUMIFS(Data!$S$2:$S$31,Data!$K$2:$K$31,"&lt;&gt;not applicable")+SUMIFS(Data!$T$2:$T$31,Data!$K$2:$K$31,"&lt;&gt;not applicable")))</f>
        <v/>
      </c>
    </row>
    <row r="15">
      <c r="A15" s="43" t="inlineStr">
        <is>
          <t>Total</t>
        </is>
      </c>
      <c r="B15" s="33">
        <f>(SUMIFS(Data!$S$2:$S$31,Data!$K$2:$K$31,"&lt;&gt;not applicable")+SUMIFS(Data!$T$2:$T$31,Data!$K$2:$K$31,"&lt;&gt;not applicable"))/1000</f>
        <v/>
      </c>
      <c r="C15" s="34">
        <f>IF((SUMIFS(Data!$S$2:$S$31,Data!$K$2:$K$31,"&lt;&gt;not applicable")+SUMIFS(Data!$T$2:$T$31,Data!$K$2:$K$31,"&lt;&gt;not applicable"))=0,"",B15*1000/(SUMIFS(Data!$S$2:$S$31,Data!$K$2:$K$31,"&lt;&gt;not applicable")+SUMIFS(Data!$T$2:$T$31,Data!$K$2:$K$31,"&lt;&gt;not applicable")))</f>
        <v/>
      </c>
    </row>
    <row r="16"/>
    <row r="17"/>
    <row r="18" ht="21.75" customHeight="1" s="67">
      <c r="A18" s="26" t="inlineStr">
        <is>
          <t xml:space="preserve">  THE DETAIL OF EACH CLASS</t>
        </is>
      </c>
    </row>
    <row r="19"/>
    <row r="20">
      <c r="A20" s="47" t="inlineStr">
        <is>
          <t>The two core groups are broken down into subgroups. Please note the Animal core subgroups are not a part of the Protein Tracker methodology but are included voluntarily by Altera.</t>
        </is>
      </c>
    </row>
    <row r="21" ht="15.75" customHeight="1" s="67"/>
    <row r="22" ht="30" customHeight="1" s="67">
      <c r="A22" s="19" t="n"/>
      <c r="B22" s="20" t="inlineStr">
        <is>
          <t>Protein (t)</t>
        </is>
      </c>
      <c r="C22" s="20" t="inlineStr">
        <is>
          <t>Share</t>
        </is>
      </c>
    </row>
    <row r="23" ht="15.75" customHeight="1" s="67">
      <c r="A23" s="48" t="inlineStr">
        <is>
          <t>Animal core</t>
        </is>
      </c>
      <c r="B23" s="49" t="n"/>
      <c r="C23" s="49" t="n"/>
    </row>
    <row r="24" ht="15.75" customHeight="1" s="67">
      <c r="A24" s="54" t="inlineStr">
        <is>
          <t xml:space="preserve">    Red meat</t>
        </is>
      </c>
      <c r="B24" s="28">
        <f>(SUMIFS(Data!$S$2:$S$31,Data!$K$2:$K$31,"animal_core",Data!$G$2:$G$31,"red_meat")+SUMIFS(Data!$T$2:$T$31,Data!$K$2:$K$31,"animal_core",Data!$G$2:$G$31,"red_meat"))/1000</f>
        <v/>
      </c>
      <c r="C24" s="32">
        <f>IF((SUMIFS(Data!$S$2:$S$31,Data!$K$2:$K$31,"&lt;&gt;not applicable")+SUMIFS(Data!$T$2:$T$31,Data!$K$2:$K$31,"&lt;&gt;not applicable"))=0,"",B24*1000/(SUMIFS(Data!$S$2:$S$31,Data!$K$2:$K$31,"&lt;&gt;not applicable")+SUMIFS(Data!$T$2:$T$31,Data!$K$2:$K$31,"&lt;&gt;not applicable")))</f>
        <v/>
      </c>
    </row>
    <row r="25" ht="15.75" customHeight="1" s="67">
      <c r="A25" s="54" t="inlineStr">
        <is>
          <t xml:space="preserve">    Poultry</t>
        </is>
      </c>
      <c r="B25" s="28">
        <f>(SUMIFS(Data!$S$2:$S$31,Data!$K$2:$K$31,"animal_core",Data!$G$2:$G$31,"poultry")+SUMIFS(Data!$T$2:$T$31,Data!$K$2:$K$31,"animal_core",Data!$G$2:$G$31,"poultry"))/1000</f>
        <v/>
      </c>
      <c r="C25" s="32">
        <f>IF((SUMIFS(Data!$S$2:$S$31,Data!$K$2:$K$31,"&lt;&gt;not applicable")+SUMIFS(Data!$T$2:$T$31,Data!$K$2:$K$31,"&lt;&gt;not applicable"))=0,"",B25*1000/(SUMIFS(Data!$S$2:$S$31,Data!$K$2:$K$31,"&lt;&gt;not applicable")+SUMIFS(Data!$T$2:$T$31,Data!$K$2:$K$31,"&lt;&gt;not applicable")))</f>
        <v/>
      </c>
    </row>
    <row r="26" ht="15.75" customHeight="1" s="67">
      <c r="A26" s="54" t="inlineStr">
        <is>
          <t xml:space="preserve">    Fish and seafood</t>
        </is>
      </c>
      <c r="B26" s="28">
        <f>(SUMIFS(Data!$S$2:$S$31,Data!$K$2:$K$31,"animal_core",Data!$G$2:$G$31,"seafood")+SUMIFS(Data!$T$2:$T$31,Data!$K$2:$K$31,"animal_core",Data!$G$2:$G$31,"seafood"))/1000</f>
        <v/>
      </c>
      <c r="C26" s="32">
        <f>IF((SUMIFS(Data!$S$2:$S$31,Data!$K$2:$K$31,"&lt;&gt;not applicable")+SUMIFS(Data!$T$2:$T$31,Data!$K$2:$K$31,"&lt;&gt;not applicable"))=0,"",B26*1000/(SUMIFS(Data!$S$2:$S$31,Data!$K$2:$K$31,"&lt;&gt;not applicable")+SUMIFS(Data!$T$2:$T$31,Data!$K$2:$K$31,"&lt;&gt;not applicable")))</f>
        <v/>
      </c>
    </row>
    <row r="27" ht="15.75" customHeight="1" s="67">
      <c r="A27" s="54" t="inlineStr">
        <is>
          <t xml:space="preserve">    Eggs</t>
        </is>
      </c>
      <c r="B27" s="28">
        <f>(SUMIFS(Data!$S$2:$S$31,Data!$K$2:$K$31,"animal_core",Data!$G$2:$G$31,"eggs")+SUMIFS(Data!$T$2:$T$31,Data!$K$2:$K$31,"animal_core",Data!$G$2:$G$31,"eggs"))/1000</f>
        <v/>
      </c>
      <c r="C27" s="32">
        <f>IF((SUMIFS(Data!$S$2:$S$31,Data!$K$2:$K$31,"&lt;&gt;not applicable")+SUMIFS(Data!$T$2:$T$31,Data!$K$2:$K$31,"&lt;&gt;not applicable"))=0,"",B27*1000/(SUMIFS(Data!$S$2:$S$31,Data!$K$2:$K$31,"&lt;&gt;not applicable")+SUMIFS(Data!$T$2:$T$31,Data!$K$2:$K$31,"&lt;&gt;not applicable")))</f>
        <v/>
      </c>
    </row>
    <row r="28" ht="15.75" customHeight="1" s="67">
      <c r="A28" s="54" t="inlineStr">
        <is>
          <t xml:space="preserve">    Other animals (snails)</t>
        </is>
      </c>
      <c r="B28" s="28">
        <f>(SUMIFS(Data!$S$2:$S$31,Data!$K$2:$K$31,"animal_core",Data!$G$2:$G$31,"other_animal")+SUMIFS(Data!$T$2:$T$31,Data!$K$2:$K$31,"animal_core",Data!$G$2:$G$31,"other_animal"))/1000</f>
        <v/>
      </c>
      <c r="C28" s="32">
        <f>IF((SUMIFS(Data!$S$2:$S$31,Data!$K$2:$K$31,"&lt;&gt;not applicable")+SUMIFS(Data!$T$2:$T$31,Data!$K$2:$K$31,"&lt;&gt;not applicable"))=0,"",B28*1000/(SUMIFS(Data!$S$2:$S$31,Data!$K$2:$K$31,"&lt;&gt;not applicable")+SUMIFS(Data!$T$2:$T$31,Data!$K$2:$K$31,"&lt;&gt;not applicable")))</f>
        <v/>
      </c>
      <c r="E28" s="50" t="n"/>
    </row>
    <row r="29" ht="15.75" customHeight="1" s="67">
      <c r="A29" s="54" t="inlineStr">
        <is>
          <t xml:space="preserve">    Cheese</t>
        </is>
      </c>
      <c r="B29" s="28">
        <f>(SUMIFS(Data!$S$2:$S$31,Data!$K$2:$K$31,"animal_core",Data!$G$2:$G$31,"dairy_animal",Data!$AC$2:$AC$31,10)+SUMIFS(Data!$T$2:$T$31,Data!$K$2:$K$31,"animal_core",Data!$G$2:$G$31,"dairy_animal",Data!$AC$2:$AC$31,10))/1000</f>
        <v/>
      </c>
      <c r="C29" s="32">
        <f>IF((SUMIFS(Data!$S$2:$S$31,Data!$K$2:$K$31,"&lt;&gt;not applicable")+SUMIFS(Data!$T$2:$T$31,Data!$K$2:$K$31,"&lt;&gt;not applicable"))=0,"",B29*1000/(SUMIFS(Data!$S$2:$S$31,Data!$K$2:$K$31,"&lt;&gt;not applicable")+SUMIFS(Data!$T$2:$T$31,Data!$K$2:$K$31,"&lt;&gt;not applicable")))</f>
        <v/>
      </c>
      <c r="E29" s="50" t="n"/>
    </row>
    <row r="30" ht="15.75" customHeight="1" s="67">
      <c r="A30" s="54" t="inlineStr">
        <is>
          <t xml:space="preserve">    Milk, yoghurts and creams</t>
        </is>
      </c>
      <c r="B30" s="28">
        <f>(SUMIFS(Data!$S$2:$S$31,Data!$K$2:$K$31,"animal_core",Data!$G$2:$G$31,"dairy_animal",Data!$AC$2:$AC$31,1)+SUMIFS(Data!$T$2:$T$31,Data!$K$2:$K$31,"animal_core",Data!$G$2:$G$31,"dairy_animal",Data!$AC$2:$AC$31,1))/1000</f>
        <v/>
      </c>
      <c r="C30" s="32">
        <f>IF((SUMIFS(Data!$S$2:$S$31,Data!$K$2:$K$31,"&lt;&gt;not applicable")+SUMIFS(Data!$T$2:$T$31,Data!$K$2:$K$31,"&lt;&gt;not applicable"))=0,"",B30*1000/(SUMIFS(Data!$S$2:$S$31,Data!$K$2:$K$31,"&lt;&gt;not applicable")+SUMIFS(Data!$T$2:$T$31,Data!$K$2:$K$31,"&lt;&gt;not applicable")))</f>
        <v/>
      </c>
      <c r="E30" s="50" t="n"/>
    </row>
    <row r="31" ht="15.75" customHeight="1" s="67">
      <c r="A31" s="51" t="inlineStr">
        <is>
          <t xml:space="preserve">    Other</t>
        </is>
      </c>
      <c r="B31" s="28">
        <f>(SUMIFS(Data!$S$2:$S$31,Data!$K$2:$K$31,"animal_core")+SUMIFS(Data!$T$2:$T$31,Data!$K$2:$K$31,"animal_core"))/1000-SUM(B24:B30)</f>
        <v/>
      </c>
      <c r="C31" s="32">
        <f>IF((SUMIFS(Data!$S$2:$S$31,Data!$K$2:$K$31,"&lt;&gt;not applicable")+SUMIFS(Data!$T$2:$T$31,Data!$K$2:$K$31,"&lt;&gt;not applicable"))=0,"",B31*1000/(SUMIFS(Data!$S$2:$S$31,Data!$K$2:$K$31,"&lt;&gt;not applicable")+SUMIFS(Data!$T$2:$T$31,Data!$K$2:$K$31,"&lt;&gt;not applicable")))</f>
        <v/>
      </c>
      <c r="E31" s="50" t="n"/>
    </row>
    <row r="32" ht="15.75" customHeight="1" s="67">
      <c r="A32" s="52" t="inlineStr">
        <is>
          <t>Plant-based core</t>
        </is>
      </c>
      <c r="B32" s="53" t="n"/>
      <c r="C32" s="53" t="n"/>
      <c r="E32" s="50" t="n"/>
    </row>
    <row r="33" ht="15.75" customHeight="1" s="67">
      <c r="A33" s="54" t="inlineStr">
        <is>
          <t xml:space="preserve">    Pulses</t>
        </is>
      </c>
      <c r="B33" s="28">
        <f>(SUMIFS(Data!$S$2:$S$31,Data!$K$2:$K$31,"plant_core",Data!$G$2:$G$31,"legumes")+SUMIFS(Data!$T$2:$T$31,Data!$K$2:$K$31,"plant_core",Data!$G$2:$G$31,"legumes"))/1000</f>
        <v/>
      </c>
      <c r="C33" s="32">
        <f>IF((SUMIFS(Data!$S$2:$S$31,Data!$K$2:$K$31,"&lt;&gt;not applicable")+SUMIFS(Data!$T$2:$T$31,Data!$K$2:$K$31,"&lt;&gt;not applicable"))=0,"",B33*1000/(SUMIFS(Data!$S$2:$S$31,Data!$K$2:$K$31,"&lt;&gt;not applicable")+SUMIFS(Data!$T$2:$T$31,Data!$K$2:$K$31,"&lt;&gt;not applicable")))</f>
        <v/>
      </c>
      <c r="E33" s="50" t="n"/>
    </row>
    <row r="34" ht="15.75" customHeight="1" s="67">
      <c r="A34" s="54" t="inlineStr">
        <is>
          <t xml:space="preserve">    Nuts</t>
        </is>
      </c>
      <c r="B34" s="28">
        <f>(SUMIFS(Data!$S$2:$S$31,Data!$K$2:$K$31,"plant_core",Data!$G$2:$G$31,"nuts")+SUMIFS(Data!$T$2:$T$31,Data!$K$2:$K$31,"plant_core",Data!$G$2:$G$31,"nuts"))/1000</f>
        <v/>
      </c>
      <c r="C34" s="32">
        <f>IF((SUMIFS(Data!$S$2:$S$31,Data!$K$2:$K$31,"&lt;&gt;not applicable")+SUMIFS(Data!$T$2:$T$31,Data!$K$2:$K$31,"&lt;&gt;not applicable"))=0,"",B34*1000/(SUMIFS(Data!$S$2:$S$31,Data!$K$2:$K$31,"&lt;&gt;not applicable")+SUMIFS(Data!$T$2:$T$31,Data!$K$2:$K$31,"&lt;&gt;not applicable")))</f>
        <v/>
      </c>
      <c r="E34" s="50" t="n"/>
    </row>
    <row r="35" ht="15.75" customHeight="1" s="67">
      <c r="A35" s="54" t="inlineStr">
        <is>
          <t xml:space="preserve">    Seeds</t>
        </is>
      </c>
      <c r="B35" s="28">
        <f>(SUMIFS(Data!$S$2:$S$31,Data!$K$2:$K$31,"plant_core",Data!$G$2:$G$31,"seeds")+SUMIFS(Data!$T$2:$T$31,Data!$K$2:$K$31,"plant_core",Data!$G$2:$G$31,"seeds"))/1000</f>
        <v/>
      </c>
      <c r="C35" s="32">
        <f>IF((SUMIFS(Data!$S$2:$S$31,Data!$K$2:$K$31,"&lt;&gt;not applicable")+SUMIFS(Data!$T$2:$T$31,Data!$K$2:$K$31,"&lt;&gt;not applicable"))=0,"",B35*1000/(SUMIFS(Data!$S$2:$S$31,Data!$K$2:$K$31,"&lt;&gt;not applicable")+SUMIFS(Data!$T$2:$T$31,Data!$K$2:$K$31,"&lt;&gt;not applicable")))</f>
        <v/>
      </c>
      <c r="E35" s="50" t="n"/>
    </row>
    <row r="36" ht="15.75" customHeight="1" s="67">
      <c r="A36" s="54" t="inlineStr">
        <is>
          <t xml:space="preserve">    Plant-based meat alternatives</t>
        </is>
      </c>
      <c r="B36" s="28">
        <f>(SUMIFS(Data!$S$2:$S$31,Data!$K$2:$K$31,"plant_core",Data!$G$2:$G$31,"meat_egg_seafood_alternatives")+SUMIFS(Data!$T$2:$T$31,Data!$K$2:$K$31,"plant_core",Data!$G$2:$G$31,"meat_egg_seafood_alternatives"))/1000</f>
        <v/>
      </c>
      <c r="C36" s="32">
        <f>IF((SUMIFS(Data!$S$2:$S$31,Data!$K$2:$K$31,"&lt;&gt;not applicable")+SUMIFS(Data!$T$2:$T$31,Data!$K$2:$K$31,"&lt;&gt;not applicable"))=0,"",B36*1000/(SUMIFS(Data!$S$2:$S$31,Data!$K$2:$K$31,"&lt;&gt;not applicable")+SUMIFS(Data!$T$2:$T$31,Data!$K$2:$K$31,"&lt;&gt;not applicable")))</f>
        <v/>
      </c>
      <c r="E36" s="50" t="n"/>
    </row>
    <row r="37" ht="15.75" customHeight="1" s="67">
      <c r="A37" s="54" t="inlineStr">
        <is>
          <t xml:space="preserve">    Tofu, tempeh, seitan</t>
        </is>
      </c>
      <c r="B37" s="28">
        <f>(SUMIFS(Data!$S$2:$S$31,Data!$K$2:$K$31,"plant_core",Data!$G$2:$G$31,"tofu_tempeh_seitan")+SUMIFS(Data!$T$2:$T$31,Data!$K$2:$K$31,"plant_core",Data!$G$2:$G$31,"tofu_tempeh_seitan"))/1000</f>
        <v/>
      </c>
      <c r="C37" s="32">
        <f>IF((SUMIFS(Data!$S$2:$S$31,Data!$K$2:$K$31,"&lt;&gt;not applicable")+SUMIFS(Data!$T$2:$T$31,Data!$K$2:$K$31,"&lt;&gt;not applicable"))=0,"",B37*1000/(SUMIFS(Data!$S$2:$S$31,Data!$K$2:$K$31,"&lt;&gt;not applicable")+SUMIFS(Data!$T$2:$T$31,Data!$K$2:$K$31,"&lt;&gt;not applicable")))</f>
        <v/>
      </c>
      <c r="E37" s="50" t="n"/>
    </row>
    <row r="38" ht="15.75" customHeight="1" s="67">
      <c r="A38" s="54" t="inlineStr">
        <is>
          <t xml:space="preserve">    Plant-based dairy alternatives</t>
        </is>
      </c>
      <c r="B38" s="28">
        <f>(SUMIFS(Data!$S$2:$S$31,Data!$K$2:$K$31,"plant_core",Data!$G$2:$G$31,"dairy_alternative_plant")+SUMIFS(Data!$T$2:$T$31,Data!$K$2:$K$31,"plant_core",Data!$G$2:$G$31,"dairy_alternative_plant"))/1000</f>
        <v/>
      </c>
      <c r="C38" s="32">
        <f>IF((SUMIFS(Data!$S$2:$S$31,Data!$K$2:$K$31,"&lt;&gt;not applicable")+SUMIFS(Data!$T$2:$T$31,Data!$K$2:$K$31,"&lt;&gt;not applicable"))=0,"",B38*1000/(SUMIFS(Data!$S$2:$S$31,Data!$K$2:$K$31,"&lt;&gt;not applicable")+SUMIFS(Data!$T$2:$T$31,Data!$K$2:$K$31,"&lt;&gt;not applicable")))</f>
        <v/>
      </c>
    </row>
    <row r="39" ht="15.75" customHeight="1" s="67">
      <c r="A39" s="51" t="inlineStr">
        <is>
          <t xml:space="preserve">    Other</t>
        </is>
      </c>
      <c r="B39" s="28">
        <f>(SUMIFS(Data!$S$2:$S$31,Data!$K$2:$K$31,"plant_core")+SUMIFS(Data!$T$2:$T$31,Data!$K$2:$K$31,"plant_core"))/1000-SUM(B33:B38)</f>
        <v/>
      </c>
      <c r="C39" s="32">
        <f>IF((SUMIFS(Data!$S$2:$S$31,Data!$K$2:$K$31,"&lt;&gt;not applicable")+SUMIFS(Data!$T$2:$T$31,Data!$K$2:$K$31,"&lt;&gt;not applicable"))=0,"",B39*1000/(SUMIFS(Data!$S$2:$S$31,Data!$K$2:$K$31,"&lt;&gt;not applicable")+SUMIFS(Data!$T$2:$T$31,Data!$K$2:$K$31,"&lt;&gt;not applicable")))</f>
        <v/>
      </c>
    </row>
    <row r="40" ht="15.75" customHeight="1" s="67">
      <c r="A40" s="43" t="inlineStr">
        <is>
          <t>Total</t>
        </is>
      </c>
      <c r="B40" s="33">
        <f>(SUMIFS(Data!$S$2:$S$31,Data!$K$2:$K$31,"&lt;&gt;not applicable")+SUMIFS(Data!$T$2:$T$31,Data!$K$2:$K$31,"&lt;&gt;not applicable"))/1000</f>
        <v/>
      </c>
      <c r="C40" s="34">
        <f>IF((SUMIFS(Data!$S$2:$S$31,Data!$K$2:$K$31,"&lt;&gt;not applicable")+SUMIFS(Data!$T$2:$T$31,Data!$K$2:$K$31,"&lt;&gt;not applicable"))=0,"",B40*1000/(SUMIFS(Data!$S$2:$S$31,Data!$K$2:$K$31,"&lt;&gt;not applicable")+SUMIFS(Data!$T$2:$T$31,Data!$K$2:$K$31,"&lt;&gt;not applicable")))</f>
        <v/>
      </c>
    </row>
    <row r="41" ht="15.75" customHeight="1" s="67"/>
    <row r="42" ht="15.75" customHeight="1" s="67"/>
    <row r="43" ht="21.75" customHeight="1" s="67">
      <c r="A43" s="58" t="inlineStr">
        <is>
          <t xml:space="preserve">  MASS AND PLANT / ANIMAL SPLIT</t>
        </is>
      </c>
    </row>
    <row r="44" ht="15.75" customHeight="1" s="67"/>
    <row r="45" ht="30" customHeight="1" s="67">
      <c r="A45" s="19" t="inlineStr">
        <is>
          <t>Class</t>
        </is>
      </c>
      <c r="B45" s="20" t="inlineStr">
        <is>
          <t>Mass (t)</t>
        </is>
      </c>
      <c r="C45" s="20" t="inlineStr">
        <is>
          <t>Protein (t)</t>
        </is>
      </c>
      <c r="D45" s="20" t="inlineStr">
        <is>
          <t>Plant protein (t)</t>
        </is>
      </c>
      <c r="E45" s="20" t="inlineStr">
        <is>
          <t>Animal protein (t)</t>
        </is>
      </c>
      <c r="F45" s="20" t="inlineStr">
        <is>
          <t>Plant share</t>
        </is>
      </c>
      <c r="G45" s="20" t="inlineStr">
        <is>
          <t>Animal share</t>
        </is>
      </c>
    </row>
    <row r="46" ht="15.75" customHeight="1" s="67">
      <c r="A46" s="54" t="inlineStr">
        <is>
          <t>Plant core</t>
        </is>
      </c>
      <c r="B46" s="28">
        <f>SUMIFS(Data!$R$2:$R$31,Data!$K$2:$K$31,"plant_core")/1000</f>
        <v/>
      </c>
      <c r="C46" s="28">
        <f>D46+E46</f>
        <v/>
      </c>
      <c r="D46" s="28">
        <f>SUMIFS(Data!$S$2:$S$31,Data!$K$2:$K$31,"plant_core")/1000</f>
        <v/>
      </c>
      <c r="E46" s="28">
        <f>SUMIFS(Data!$T$2:$T$31,Data!$K$2:$K$31,"plant_core")/1000</f>
        <v/>
      </c>
      <c r="F46" s="32">
        <f>IF(C46=0,"",D46/C46)</f>
        <v/>
      </c>
      <c r="G46" s="32">
        <f>IF(C46=0,"",E46/C46)</f>
        <v/>
      </c>
    </row>
    <row r="47" ht="15.75" customHeight="1" s="67">
      <c r="A47" s="54" t="inlineStr">
        <is>
          <t>Plant non-core</t>
        </is>
      </c>
      <c r="B47" s="28">
        <f>SUMIFS(Data!$R$2:$R$31,Data!$K$2:$K$31,"plant_non_core")/1000</f>
        <v/>
      </c>
      <c r="C47" s="28">
        <f>D47+E47</f>
        <v/>
      </c>
      <c r="D47" s="28">
        <f>SUMIFS(Data!$S$2:$S$31,Data!$K$2:$K$31,"plant_non_core")/1000</f>
        <v/>
      </c>
      <c r="E47" s="28">
        <f>SUMIFS(Data!$T$2:$T$31,Data!$K$2:$K$31,"plant_non_core")/1000</f>
        <v/>
      </c>
      <c r="F47" s="32">
        <f>IF(C47=0,"",D47/C47)</f>
        <v/>
      </c>
      <c r="G47" s="32">
        <f>IF(C47=0,"",E47/C47)</f>
        <v/>
      </c>
    </row>
    <row r="48" ht="15.75" customHeight="1" s="67">
      <c r="A48" s="54" t="inlineStr">
        <is>
          <t>Animal-plant-based composite</t>
        </is>
      </c>
      <c r="B48" s="28">
        <f>SUMIFS(Data!$R$2:$R$31,Data!$K$2:$K$31,"animal-plant-based composite")/1000</f>
        <v/>
      </c>
      <c r="C48" s="28">
        <f>D48+E48</f>
        <v/>
      </c>
      <c r="D48" s="28">
        <f>SUMIFS(Data!$S$2:$S$31,Data!$K$2:$K$31,"animal-plant-based composite")/1000</f>
        <v/>
      </c>
      <c r="E48" s="28">
        <f>SUMIFS(Data!$T$2:$T$31,Data!$K$2:$K$31,"animal-plant-based composite")/1000</f>
        <v/>
      </c>
      <c r="F48" s="32">
        <f>IF(C48=0,"",D48/C48)</f>
        <v/>
      </c>
      <c r="G48" s="32">
        <f>IF(C48=0,"",E48/C48)</f>
        <v/>
      </c>
    </row>
    <row r="49" ht="15.75" customHeight="1" s="67">
      <c r="A49" s="54" t="inlineStr">
        <is>
          <t>Animal core</t>
        </is>
      </c>
      <c r="B49" s="28">
        <f>SUMIFS(Data!$R$2:$R$31,Data!$K$2:$K$31,"animal_core")/1000</f>
        <v/>
      </c>
      <c r="C49" s="28">
        <f>D49+E49</f>
        <v/>
      </c>
      <c r="D49" s="28">
        <f>SUMIFS(Data!$S$2:$S$31,Data!$K$2:$K$31,"animal_core")/1000</f>
        <v/>
      </c>
      <c r="E49" s="28">
        <f>SUMIFS(Data!$T$2:$T$31,Data!$K$2:$K$31,"animal_core")/1000</f>
        <v/>
      </c>
      <c r="F49" s="32">
        <f>IF(C49=0,"",D49/C49)</f>
        <v/>
      </c>
      <c r="G49" s="32">
        <f>IF(C49=0,"",E49/C49)</f>
        <v/>
      </c>
    </row>
    <row r="50" ht="15.75" customHeight="1" s="67">
      <c r="A50" s="43" t="inlineStr">
        <is>
          <t>Total</t>
        </is>
      </c>
      <c r="B50" s="56">
        <f>SUM(B46:B49)</f>
        <v/>
      </c>
      <c r="C50" s="56">
        <f>SUM(C46:C49)</f>
        <v/>
      </c>
      <c r="D50" s="56">
        <f>SUM(D46:D49)</f>
        <v/>
      </c>
      <c r="E50" s="56">
        <f>SUM(E46:E49)</f>
        <v/>
      </c>
      <c r="F50" s="57">
        <f>IF(C50=0,"",D50/C50)</f>
        <v/>
      </c>
      <c r="G50" s="57">
        <f>IF(C50=0,"",E50/C50)</f>
        <v/>
      </c>
    </row>
    <row r="51" ht="15.75" customHeight="1" s="67"/>
    <row r="52" ht="15.75" customHeight="1" s="67">
      <c r="A52" s="31" t="inlineStr">
        <is>
          <t>Outside the scope</t>
        </is>
      </c>
    </row>
    <row r="53" ht="30" customHeight="1" s="67">
      <c r="A53" s="19" t="n"/>
      <c r="B53" s="20" t="inlineStr">
        <is>
          <t>Mass (t)</t>
        </is>
      </c>
      <c r="C53" s="20" t="inlineStr">
        <is>
          <t>Protein (t)</t>
        </is>
      </c>
      <c r="D53" s="20" t="inlineStr">
        <is>
          <t>Plant protein (t)</t>
        </is>
      </c>
      <c r="E53" s="20" t="inlineStr">
        <is>
          <t>Animal protein (t)</t>
        </is>
      </c>
      <c r="F53" s="20" t="inlineStr">
        <is>
          <t>Plant share</t>
        </is>
      </c>
      <c r="G53" s="20" t="inlineStr">
        <is>
          <t>Animal share</t>
        </is>
      </c>
    </row>
    <row r="54" ht="15.75" customHeight="1" s="67">
      <c r="A54" s="54" t="inlineStr">
        <is>
          <t>outside scope · non-food</t>
        </is>
      </c>
      <c r="B54" s="28">
        <f>SUMIFS(Data!$R$2:$R$31,Data!$K$2:$K$31,"outside scope - non-food")/1000</f>
        <v/>
      </c>
      <c r="C54" s="28">
        <f>D54+E54</f>
        <v/>
      </c>
      <c r="D54" s="28">
        <f>SUMIFS(Data!$S$2:$S$31,Data!$K$2:$K$31,"outside scope - non-food")/1000</f>
        <v/>
      </c>
      <c r="E54" s="28">
        <f>SUMIFS(Data!$T$2:$T$31,Data!$K$2:$K$31,"outside scope - non-food")/1000</f>
        <v/>
      </c>
      <c r="F54" s="32">
        <f>IF(C54=0,"",D54/C54)</f>
        <v/>
      </c>
      <c r="G54" s="32">
        <f>IF(C54=0,"",E54/C54)</f>
        <v/>
      </c>
    </row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</sheetData>
  <mergeCells count="9">
    <mergeCell ref="A4:B4"/>
    <mergeCell ref="A1:G1"/>
    <mergeCell ref="A18:G18"/>
    <mergeCell ref="A8:G8"/>
    <mergeCell ref="A6:G6"/>
    <mergeCell ref="A20:G20"/>
    <mergeCell ref="A43:G43"/>
    <mergeCell ref="A3:B3"/>
    <mergeCell ref="C3:D4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selection activeCell="A1" sqref="A1"/>
    </sheetView>
  </sheetViews>
  <sheetFormatPr baseColWidth="8" defaultColWidth="14.43" defaultRowHeight="15" customHeight="1"/>
  <cols>
    <col width="46" customWidth="1" style="67" min="1" max="1"/>
    <col width="15" customWidth="1" style="67" min="2" max="7"/>
    <col width="3" customWidth="1" style="67" min="8" max="8"/>
    <col width="14" customWidth="1" style="67" min="9" max="9"/>
    <col width="12" customWidth="1" style="67" min="10" max="10"/>
  </cols>
  <sheetData>
    <row r="1" ht="25.5" customHeight="1" s="67">
      <c r="A1" s="58" t="inlineStr">
        <is>
          <t xml:space="preserve">  WWF PLANET-BASED DIETS · REPORT IN APPENDIX D FORMAT</t>
        </is>
      </c>
    </row>
    <row r="2"/>
    <row r="3">
      <c r="A3" s="25" t="inlineStr">
        <is>
          <t>METHODOLOGY</t>
        </is>
      </c>
      <c r="B3" s="54" t="inlineStr">
        <is>
          <t>WWF Planet-Based Diets</t>
        </is>
      </c>
    </row>
    <row r="4">
      <c r="A4" s="25" t="inlineStr">
        <is>
          <t>INPUT DATA</t>
        </is>
      </c>
      <c r="B4" s="54" t="inlineStr">
        <is>
          <t>Harbour Market catalogue, 30 products, volumes entered on the Welcome tab</t>
        </is>
      </c>
    </row>
    <row r="5">
      <c r="A5" s="25" t="inlineStr">
        <is>
          <t>STEP</t>
        </is>
      </c>
      <c r="B5" s="54" t="inlineStr">
        <is>
          <t>Step 1 · product level</t>
        </is>
      </c>
    </row>
    <row r="6"/>
    <row r="7" ht="21.75" customHeight="1" s="67">
      <c r="A7" s="26" t="inlineStr">
        <is>
          <t xml:space="preserve">  WHOLE PRODUCTS</t>
        </is>
      </c>
    </row>
    <row r="8"/>
    <row r="9">
      <c r="B9" s="27" t="inlineStr">
        <is>
          <t>Dairy equivalents · Retailer</t>
        </is>
      </c>
      <c r="F9" s="27" t="inlineStr">
        <is>
          <t>Product mass · Retailer</t>
        </is>
      </c>
      <c r="I9" s="27" t="inlineStr">
        <is>
          <t>Protein · Retailer</t>
        </is>
      </c>
    </row>
    <row r="10" ht="30" customHeight="1" s="67">
      <c r="A10" s="19" t="n"/>
      <c r="B10" s="20" t="inlineStr">
        <is>
          <t>Mass (t)</t>
        </is>
      </c>
      <c r="C10" s="20" t="inlineStr">
        <is>
          <t>Share</t>
        </is>
      </c>
      <c r="D10" s="20" t="inlineStr">
        <is>
          <t>PHD</t>
        </is>
      </c>
      <c r="E10" s="20" t="n"/>
      <c r="F10" s="20" t="inlineStr">
        <is>
          <t>Mass (t)</t>
        </is>
      </c>
      <c r="G10" s="20" t="inlineStr">
        <is>
          <t>Share</t>
        </is>
      </c>
      <c r="H10" s="20" t="n"/>
      <c r="I10" s="20" t="inlineStr">
        <is>
          <t>Protein (t)</t>
        </is>
      </c>
      <c r="J10" s="20" t="inlineStr">
        <is>
          <t>Share</t>
        </is>
      </c>
    </row>
    <row r="11">
      <c r="A11" s="29" t="inlineStr">
        <is>
          <t>FOOD GROUP 1</t>
        </is>
      </c>
      <c r="B11" s="30" t="n"/>
      <c r="C11" s="30" t="n"/>
      <c r="D11" s="30" t="n"/>
    </row>
    <row r="12">
      <c r="A12" s="31" t="inlineStr">
        <is>
          <t>Plant-Based</t>
        </is>
      </c>
      <c r="B12" s="33">
        <f>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SUMIFS(Data!$AD$2:$AD$31,Data!$G$2:$G$31,"tofu_tempeh_seitan"))/1000</f>
        <v/>
      </c>
      <c r="C12" s="34">
        <f>IF(SUMIFS(Data!$AD$2:$AD$31,Data!$I$2:$I$31,"No")=0,"",B12*1000/SUMIFS(Data!$AD$2:$AD$31,Data!$I$2:$I$31,"No"))</f>
        <v/>
      </c>
      <c r="D12" s="35" t="n">
        <v>0.1</v>
      </c>
      <c r="F12" s="36">
        <f>(SUMIFS(Data!$R$2:$R$31,Data!$G$2:$G$31,"legumes") + SUMIFS(Data!$R$2:$R$31,Data!$G$2:$G$31,"nuts") + SUMIFS(Data!$R$2:$R$31,Data!$G$2:$G$31,"seeds") + SUMIFS(Data!$R$2:$R$31,Data!$G$2:$G$31,"meat_egg_seafood_alternatives") + SUMIFS(Data!$R$2:$R$31,Data!$G$2:$G$31,"tofu_tempeh_seitan"))/1000</f>
        <v/>
      </c>
      <c r="G12" s="37">
        <f>IF(SUMIFS(Data!$R$2:$R$31,Data!$I$2:$I$31,"No")=0,"",F12*1000/SUMIFS(Data!$R$2:$R$31,Data!$I$2:$I$31,"No"))</f>
        <v/>
      </c>
      <c r="I12" s="39">
        <f>(SUMIFS(Data!$S$2:$S$31,Data!$G$2:$G$31,"legumes")+SUMIFS(Data!$T$2:$T$31,Data!$G$2:$G$31,"legumes") + SUMIFS(Data!$S$2:$S$31,Data!$G$2:$G$31,"nuts")+SUMIFS(Data!$T$2:$T$31,Data!$G$2:$G$31,"nuts") + SUMIFS(Data!$S$2:$S$31,Data!$G$2:$G$31,"seeds")+SUMIFS(Data!$T$2:$T$31,Data!$G$2:$G$31,"seeds") + SUMIFS(Data!$S$2:$S$31,Data!$G$2:$G$31,"meat_egg_seafood_alternatives")+SUMIFS(Data!$T$2:$T$31,Data!$G$2:$G$31,"meat_egg_seafood_alternatives") + SUMIFS(Data!$S$2:$S$31,Data!$G$2:$G$31,"tofu_tempeh_seitan")+SUMIFS(Data!$T$2:$T$31,Data!$G$2:$G$31,"tofu_tempeh_seitan"))/1000</f>
        <v/>
      </c>
      <c r="J12" s="40">
        <f>IF((SUMIFS(Data!$S$2:$S$31,Data!$I$2:$I$31,"No")+SUMIFS(Data!$T$2:$T$31,Data!$I$2:$I$31,"No"))=0,"",I12*1000/(SUMIFS(Data!$S$2:$S$31,Data!$I$2:$I$31,"No")+SUMIFS(Data!$T$2:$T$31,Data!$I$2:$I$31,"No")))</f>
        <v/>
      </c>
    </row>
    <row r="13">
      <c r="A13" s="54" t="inlineStr">
        <is>
          <t xml:space="preserve">    Pulses</t>
        </is>
      </c>
      <c r="B13" s="28">
        <f>(SUMIFS(Data!$AD$2:$AD$31,Data!$G$2:$G$31,"legumes"))/1000</f>
        <v/>
      </c>
      <c r="C13" s="32">
        <f>IF(SUMIFS(Data!$AD$2:$AD$31,Data!$I$2:$I$31,"No")=0,"",B13*1000/SUMIFS(Data!$AD$2:$AD$31,Data!$I$2:$I$31,"No"))</f>
        <v/>
      </c>
      <c r="D13" s="44" t="inlineStr">
        <is>
          <t>N/A</t>
        </is>
      </c>
      <c r="F13" s="36">
        <f>(SUMIFS(Data!$R$2:$R$31,Data!$G$2:$G$31,"legumes"))/1000</f>
        <v/>
      </c>
      <c r="G13" s="37">
        <f>IF(SUMIFS(Data!$R$2:$R$31,Data!$I$2:$I$31,"No")=0,"",F13*1000/SUMIFS(Data!$R$2:$R$31,Data!$I$2:$I$31,"No"))</f>
        <v/>
      </c>
      <c r="I13" s="45">
        <f>(SUMIFS(Data!$S$2:$S$31,Data!$G$2:$G$31,"legumes")+SUMIFS(Data!$T$2:$T$31,Data!$G$2:$G$31,"legumes"))/1000</f>
        <v/>
      </c>
      <c r="J13" s="46">
        <f>IF((SUMIFS(Data!$S$2:$S$31,Data!$I$2:$I$31,"No")+SUMIFS(Data!$T$2:$T$31,Data!$I$2:$I$31,"No"))=0,"",I13*1000/(SUMIFS(Data!$S$2:$S$31,Data!$I$2:$I$31,"No")+SUMIFS(Data!$T$2:$T$31,Data!$I$2:$I$31,"No")))</f>
        <v/>
      </c>
    </row>
    <row r="14">
      <c r="A14" s="54" t="inlineStr">
        <is>
          <t xml:space="preserve">    Nuts</t>
        </is>
      </c>
      <c r="B14" s="28">
        <f>(SUMIFS(Data!$AD$2:$AD$31,Data!$G$2:$G$31,"nuts"))/1000</f>
        <v/>
      </c>
      <c r="C14" s="32">
        <f>IF(SUMIFS(Data!$AD$2:$AD$31,Data!$I$2:$I$31,"No")=0,"",B14*1000/SUMIFS(Data!$AD$2:$AD$31,Data!$I$2:$I$31,"No"))</f>
        <v/>
      </c>
      <c r="D14" s="44" t="inlineStr">
        <is>
          <t>N/A</t>
        </is>
      </c>
      <c r="F14" s="36">
        <f>(SUMIFS(Data!$R$2:$R$31,Data!$G$2:$G$31,"nuts"))/1000</f>
        <v/>
      </c>
      <c r="G14" s="37">
        <f>IF(SUMIFS(Data!$R$2:$R$31,Data!$I$2:$I$31,"No")=0,"",F14*1000/SUMIFS(Data!$R$2:$R$31,Data!$I$2:$I$31,"No"))</f>
        <v/>
      </c>
      <c r="I14" s="45">
        <f>(SUMIFS(Data!$S$2:$S$31,Data!$G$2:$G$31,"nuts")+SUMIFS(Data!$T$2:$T$31,Data!$G$2:$G$31,"nuts"))/1000</f>
        <v/>
      </c>
      <c r="J14" s="46">
        <f>IF((SUMIFS(Data!$S$2:$S$31,Data!$I$2:$I$31,"No")+SUMIFS(Data!$T$2:$T$31,Data!$I$2:$I$31,"No"))=0,"",I14*1000/(SUMIFS(Data!$S$2:$S$31,Data!$I$2:$I$31,"No")+SUMIFS(Data!$T$2:$T$31,Data!$I$2:$I$31,"No")))</f>
        <v/>
      </c>
    </row>
    <row r="15">
      <c r="A15" s="54" t="inlineStr">
        <is>
          <t xml:space="preserve">    Seeds</t>
        </is>
      </c>
      <c r="B15" s="28">
        <f>(SUMIFS(Data!$AD$2:$AD$31,Data!$G$2:$G$31,"seeds"))/1000</f>
        <v/>
      </c>
      <c r="C15" s="32">
        <f>IF(SUMIFS(Data!$AD$2:$AD$31,Data!$I$2:$I$31,"No")=0,"",B15*1000/SUMIFS(Data!$AD$2:$AD$31,Data!$I$2:$I$31,"No"))</f>
        <v/>
      </c>
      <c r="D15" s="44" t="inlineStr">
        <is>
          <t>N/A</t>
        </is>
      </c>
      <c r="F15" s="36">
        <f>(SUMIFS(Data!$R$2:$R$31,Data!$G$2:$G$31,"seeds"))/1000</f>
        <v/>
      </c>
      <c r="G15" s="37">
        <f>IF(SUMIFS(Data!$R$2:$R$31,Data!$I$2:$I$31,"No")=0,"",F15*1000/SUMIFS(Data!$R$2:$R$31,Data!$I$2:$I$31,"No"))</f>
        <v/>
      </c>
      <c r="I15" s="45">
        <f>(SUMIFS(Data!$S$2:$S$31,Data!$G$2:$G$31,"seeds")+SUMIFS(Data!$T$2:$T$31,Data!$G$2:$G$31,"seeds"))/1000</f>
        <v/>
      </c>
      <c r="J15" s="46">
        <f>IF((SUMIFS(Data!$S$2:$S$31,Data!$I$2:$I$31,"No")+SUMIFS(Data!$T$2:$T$31,Data!$I$2:$I$31,"No"))=0,"",I15*1000/(SUMIFS(Data!$S$2:$S$31,Data!$I$2:$I$31,"No")+SUMIFS(Data!$T$2:$T$31,Data!$I$2:$I$31,"No")))</f>
        <v/>
      </c>
    </row>
    <row r="16">
      <c r="A16" s="54" t="inlineStr">
        <is>
          <t xml:space="preserve">    Alternative Products</t>
        </is>
      </c>
      <c r="B16" s="28">
        <f>(SUMIFS(Data!$AD$2:$AD$31,Data!$G$2:$G$31,"meat_egg_seafood_alternatives"))/1000</f>
        <v/>
      </c>
      <c r="C16" s="32">
        <f>IF(SUMIFS(Data!$AD$2:$AD$31,Data!$I$2:$I$31,"No")=0,"",B16*1000/SUMIFS(Data!$AD$2:$AD$31,Data!$I$2:$I$31,"No"))</f>
        <v/>
      </c>
      <c r="D16" s="44" t="inlineStr">
        <is>
          <t>N/A</t>
        </is>
      </c>
      <c r="F16" s="36">
        <f>(SUMIFS(Data!$R$2:$R$31,Data!$G$2:$G$31,"meat_egg_seafood_alternatives"))/1000</f>
        <v/>
      </c>
      <c r="G16" s="37">
        <f>IF(SUMIFS(Data!$R$2:$R$31,Data!$I$2:$I$31,"No")=0,"",F16*1000/SUMIFS(Data!$R$2:$R$31,Data!$I$2:$I$31,"No"))</f>
        <v/>
      </c>
      <c r="I16" s="45">
        <f>(SUMIFS(Data!$S$2:$S$31,Data!$G$2:$G$31,"meat_egg_seafood_alternatives")+SUMIFS(Data!$T$2:$T$31,Data!$G$2:$G$31,"meat_egg_seafood_alternatives"))/1000</f>
        <v/>
      </c>
      <c r="J16" s="46">
        <f>IF((SUMIFS(Data!$S$2:$S$31,Data!$I$2:$I$31,"No")+SUMIFS(Data!$T$2:$T$31,Data!$I$2:$I$31,"No"))=0,"",I16*1000/(SUMIFS(Data!$S$2:$S$31,Data!$I$2:$I$31,"No")+SUMIFS(Data!$T$2:$T$31,Data!$I$2:$I$31,"No")))</f>
        <v/>
      </c>
    </row>
    <row r="17">
      <c r="A17" s="54" t="inlineStr">
        <is>
          <t xml:space="preserve">    Tofu, tempeh &amp; seitan</t>
        </is>
      </c>
      <c r="B17" s="28">
        <f>(SUMIFS(Data!$AD$2:$AD$31,Data!$G$2:$G$31,"tofu_tempeh_seitan"))/1000</f>
        <v/>
      </c>
      <c r="C17" s="32">
        <f>IF(SUMIFS(Data!$AD$2:$AD$31,Data!$I$2:$I$31,"No")=0,"",B17*1000/SUMIFS(Data!$AD$2:$AD$31,Data!$I$2:$I$31,"No"))</f>
        <v/>
      </c>
      <c r="D17" s="44" t="inlineStr">
        <is>
          <t>N/A</t>
        </is>
      </c>
      <c r="F17" s="36">
        <f>(SUMIFS(Data!$R$2:$R$31,Data!$G$2:$G$31,"tofu_tempeh_seitan"))/1000</f>
        <v/>
      </c>
      <c r="G17" s="37">
        <f>IF(SUMIFS(Data!$R$2:$R$31,Data!$I$2:$I$31,"No")=0,"",F17*1000/SUMIFS(Data!$R$2:$R$31,Data!$I$2:$I$31,"No"))</f>
        <v/>
      </c>
      <c r="I17" s="45">
        <f>(SUMIFS(Data!$S$2:$S$31,Data!$G$2:$G$31,"tofu_tempeh_seitan")+SUMIFS(Data!$T$2:$T$31,Data!$G$2:$G$31,"tofu_tempeh_seitan"))/1000</f>
        <v/>
      </c>
      <c r="J17" s="46">
        <f>IF((SUMIFS(Data!$S$2:$S$31,Data!$I$2:$I$31,"No")+SUMIFS(Data!$T$2:$T$31,Data!$I$2:$I$31,"No"))=0,"",I17*1000/(SUMIFS(Data!$S$2:$S$31,Data!$I$2:$I$31,"No")+SUMIFS(Data!$T$2:$T$31,Data!$I$2:$I$31,"No")))</f>
        <v/>
      </c>
    </row>
    <row r="18">
      <c r="A18" s="31" t="inlineStr">
        <is>
          <t>Animal-Based</t>
        </is>
      </c>
      <c r="B18" s="33">
        <f>(SUMIFS(Data!$AD$2:$AD$31,Data!$G$2:$G$31,"red_meat") + SUMIFS(Data!$AD$2:$AD$31,Data!$G$2:$G$31,"poultry") + SUMIFS(Data!$AD$2:$AD$31,Data!$G$2:$G$31,"seafood") + SUMIFS(Data!$AD$2:$AD$31,Data!$G$2:$G$31,"eggs") + SUMIFS(Data!$AD$2:$AD$31,Data!$G$2:$G$31,"other_animal"))/1000</f>
        <v/>
      </c>
      <c r="C18" s="34">
        <f>IF(SUMIFS(Data!$AD$2:$AD$31,Data!$I$2:$I$31,"No")=0,"",B18*1000/SUMIFS(Data!$AD$2:$AD$31,Data!$I$2:$I$31,"No"))</f>
        <v/>
      </c>
      <c r="D18" s="35" t="n">
        <v>0.06</v>
      </c>
      <c r="F18" s="36">
        <f>(SUMIFS(Data!$R$2:$R$31,Data!$G$2:$G$31,"red_meat") + SUMIFS(Data!$R$2:$R$31,Data!$G$2:$G$31,"poultry") + SUMIFS(Data!$R$2:$R$31,Data!$G$2:$G$31,"seafood") + SUMIFS(Data!$R$2:$R$31,Data!$G$2:$G$31,"eggs") + SUMIFS(Data!$R$2:$R$31,Data!$G$2:$G$31,"other_animal"))/1000</f>
        <v/>
      </c>
      <c r="G18" s="37">
        <f>IF(SUMIFS(Data!$R$2:$R$31,Data!$I$2:$I$31,"No")=0,"",F18*1000/SUMIFS(Data!$R$2:$R$31,Data!$I$2:$I$31,"No"))</f>
        <v/>
      </c>
      <c r="I18" s="39">
        <f>(SUMIFS(Data!$S$2:$S$31,Data!$G$2:$G$31,"red_meat")+SUMIFS(Data!$T$2:$T$31,Data!$G$2:$G$31,"red_meat") + SUMIFS(Data!$S$2:$S$31,Data!$G$2:$G$31,"poultry")+SUMIFS(Data!$T$2:$T$31,Data!$G$2:$G$31,"poultry") + SUMIFS(Data!$S$2:$S$31,Data!$G$2:$G$31,"seafood")+SUMIFS(Data!$T$2:$T$31,Data!$G$2:$G$31,"seafood") + SUMIFS(Data!$S$2:$S$31,Data!$G$2:$G$31,"eggs")+SUMIFS(Data!$T$2:$T$31,Data!$G$2:$G$31,"eggs") + SUMIFS(Data!$S$2:$S$31,Data!$G$2:$G$31,"other_animal")+SUMIFS(Data!$T$2:$T$31,Data!$G$2:$G$31,"other_animal"))/1000</f>
        <v/>
      </c>
      <c r="J18" s="40">
        <f>IF((SUMIFS(Data!$S$2:$S$31,Data!$I$2:$I$31,"No")+SUMIFS(Data!$T$2:$T$31,Data!$I$2:$I$31,"No"))=0,"",I18*1000/(SUMIFS(Data!$S$2:$S$31,Data!$I$2:$I$31,"No")+SUMIFS(Data!$T$2:$T$31,Data!$I$2:$I$31,"No")))</f>
        <v/>
      </c>
    </row>
    <row r="19">
      <c r="A19" s="54" t="inlineStr">
        <is>
          <t xml:space="preserve">    Red meat</t>
        </is>
      </c>
      <c r="B19" s="28">
        <f>(SUMIFS(Data!$AD$2:$AD$31,Data!$G$2:$G$31,"red_meat"))/1000</f>
        <v/>
      </c>
      <c r="C19" s="32">
        <f>IF(SUMIFS(Data!$AD$2:$AD$31,Data!$I$2:$I$31,"No")=0,"",B19*1000/SUMIFS(Data!$AD$2:$AD$31,Data!$I$2:$I$31,"No"))</f>
        <v/>
      </c>
      <c r="D19" s="44" t="inlineStr">
        <is>
          <t>N/A</t>
        </is>
      </c>
      <c r="F19" s="36">
        <f>(SUMIFS(Data!$R$2:$R$31,Data!$G$2:$G$31,"red_meat"))/1000</f>
        <v/>
      </c>
      <c r="G19" s="37">
        <f>IF(SUMIFS(Data!$R$2:$R$31,Data!$I$2:$I$31,"No")=0,"",F19*1000/SUMIFS(Data!$R$2:$R$31,Data!$I$2:$I$31,"No"))</f>
        <v/>
      </c>
      <c r="I19" s="45">
        <f>(SUMIFS(Data!$S$2:$S$31,Data!$G$2:$G$31,"red_meat")+SUMIFS(Data!$T$2:$T$31,Data!$G$2:$G$31,"red_meat"))/1000</f>
        <v/>
      </c>
      <c r="J19" s="46">
        <f>IF((SUMIFS(Data!$S$2:$S$31,Data!$I$2:$I$31,"No")+SUMIFS(Data!$T$2:$T$31,Data!$I$2:$I$31,"No"))=0,"",I19*1000/(SUMIFS(Data!$S$2:$S$31,Data!$I$2:$I$31,"No")+SUMIFS(Data!$T$2:$T$31,Data!$I$2:$I$31,"No")))</f>
        <v/>
      </c>
    </row>
    <row r="20" ht="15.75" customHeight="1" s="67">
      <c r="A20" s="54" t="inlineStr">
        <is>
          <t xml:space="preserve">    Poultry</t>
        </is>
      </c>
      <c r="B20" s="28">
        <f>(SUMIFS(Data!$AD$2:$AD$31,Data!$G$2:$G$31,"poultry"))/1000</f>
        <v/>
      </c>
      <c r="C20" s="32">
        <f>IF(SUMIFS(Data!$AD$2:$AD$31,Data!$I$2:$I$31,"No")=0,"",B20*1000/SUMIFS(Data!$AD$2:$AD$31,Data!$I$2:$I$31,"No"))</f>
        <v/>
      </c>
      <c r="D20" s="44" t="inlineStr">
        <is>
          <t>N/A</t>
        </is>
      </c>
      <c r="F20" s="36">
        <f>(SUMIFS(Data!$R$2:$R$31,Data!$G$2:$G$31,"poultry"))/1000</f>
        <v/>
      </c>
      <c r="G20" s="37">
        <f>IF(SUMIFS(Data!$R$2:$R$31,Data!$I$2:$I$31,"No")=0,"",F20*1000/SUMIFS(Data!$R$2:$R$31,Data!$I$2:$I$31,"No"))</f>
        <v/>
      </c>
      <c r="I20" s="45">
        <f>(SUMIFS(Data!$S$2:$S$31,Data!$G$2:$G$31,"poultry")+SUMIFS(Data!$T$2:$T$31,Data!$G$2:$G$31,"poultry"))/1000</f>
        <v/>
      </c>
      <c r="J20" s="46">
        <f>IF((SUMIFS(Data!$S$2:$S$31,Data!$I$2:$I$31,"No")+SUMIFS(Data!$T$2:$T$31,Data!$I$2:$I$31,"No"))=0,"",I20*1000/(SUMIFS(Data!$S$2:$S$31,Data!$I$2:$I$31,"No")+SUMIFS(Data!$T$2:$T$31,Data!$I$2:$I$31,"No")))</f>
        <v/>
      </c>
    </row>
    <row r="21" ht="15.75" customHeight="1" s="67">
      <c r="A21" s="54" t="inlineStr">
        <is>
          <t xml:space="preserve">    Fish &amp; Shellfish</t>
        </is>
      </c>
      <c r="B21" s="28">
        <f>(SUMIFS(Data!$AD$2:$AD$31,Data!$G$2:$G$31,"seafood"))/1000</f>
        <v/>
      </c>
      <c r="C21" s="32">
        <f>IF(SUMIFS(Data!$AD$2:$AD$31,Data!$I$2:$I$31,"No")=0,"",B21*1000/SUMIFS(Data!$AD$2:$AD$31,Data!$I$2:$I$31,"No"))</f>
        <v/>
      </c>
      <c r="D21" s="44" t="inlineStr">
        <is>
          <t>N/A</t>
        </is>
      </c>
      <c r="F21" s="36">
        <f>(SUMIFS(Data!$R$2:$R$31,Data!$G$2:$G$31,"seafood"))/1000</f>
        <v/>
      </c>
      <c r="G21" s="37">
        <f>IF(SUMIFS(Data!$R$2:$R$31,Data!$I$2:$I$31,"No")=0,"",F21*1000/SUMIFS(Data!$R$2:$R$31,Data!$I$2:$I$31,"No"))</f>
        <v/>
      </c>
      <c r="I21" s="45">
        <f>(SUMIFS(Data!$S$2:$S$31,Data!$G$2:$G$31,"seafood")+SUMIFS(Data!$T$2:$T$31,Data!$G$2:$G$31,"seafood"))/1000</f>
        <v/>
      </c>
      <c r="J21" s="46">
        <f>IF((SUMIFS(Data!$S$2:$S$31,Data!$I$2:$I$31,"No")+SUMIFS(Data!$T$2:$T$31,Data!$I$2:$I$31,"No"))=0,"",I21*1000/(SUMIFS(Data!$S$2:$S$31,Data!$I$2:$I$31,"No")+SUMIFS(Data!$T$2:$T$31,Data!$I$2:$I$31,"No")))</f>
        <v/>
      </c>
    </row>
    <row r="22" ht="15.75" customHeight="1" s="67">
      <c r="A22" s="54" t="inlineStr">
        <is>
          <t xml:space="preserve">    Eggs</t>
        </is>
      </c>
      <c r="B22" s="28">
        <f>(SUMIFS(Data!$AD$2:$AD$31,Data!$G$2:$G$31,"eggs"))/1000</f>
        <v/>
      </c>
      <c r="C22" s="32">
        <f>IF(SUMIFS(Data!$AD$2:$AD$31,Data!$I$2:$I$31,"No")=0,"",B22*1000/SUMIFS(Data!$AD$2:$AD$31,Data!$I$2:$I$31,"No"))</f>
        <v/>
      </c>
      <c r="D22" s="44" t="inlineStr">
        <is>
          <t>N/A</t>
        </is>
      </c>
      <c r="F22" s="36">
        <f>(SUMIFS(Data!$R$2:$R$31,Data!$G$2:$G$31,"eggs"))/1000</f>
        <v/>
      </c>
      <c r="G22" s="37">
        <f>IF(SUMIFS(Data!$R$2:$R$31,Data!$I$2:$I$31,"No")=0,"",F22*1000/SUMIFS(Data!$R$2:$R$31,Data!$I$2:$I$31,"No"))</f>
        <v/>
      </c>
      <c r="I22" s="45">
        <f>(SUMIFS(Data!$S$2:$S$31,Data!$G$2:$G$31,"eggs")+SUMIFS(Data!$T$2:$T$31,Data!$G$2:$G$31,"eggs"))/1000</f>
        <v/>
      </c>
      <c r="J22" s="46">
        <f>IF((SUMIFS(Data!$S$2:$S$31,Data!$I$2:$I$31,"No")+SUMIFS(Data!$T$2:$T$31,Data!$I$2:$I$31,"No"))=0,"",I22*1000/(SUMIFS(Data!$S$2:$S$31,Data!$I$2:$I$31,"No")+SUMIFS(Data!$T$2:$T$31,Data!$I$2:$I$31,"No")))</f>
        <v/>
      </c>
    </row>
    <row r="23" ht="15.75" customHeight="1" s="67">
      <c r="A23" s="54" t="inlineStr">
        <is>
          <t xml:space="preserve">    Other (e.g. snails)</t>
        </is>
      </c>
      <c r="B23" s="28">
        <f>(SUMIFS(Data!$AD$2:$AD$31,Data!$G$2:$G$31,"other_animal"))/1000</f>
        <v/>
      </c>
      <c r="C23" s="32">
        <f>IF(SUMIFS(Data!$AD$2:$AD$31,Data!$I$2:$I$31,"No")=0,"",B23*1000/SUMIFS(Data!$AD$2:$AD$31,Data!$I$2:$I$31,"No"))</f>
        <v/>
      </c>
      <c r="D23" s="44" t="inlineStr">
        <is>
          <t>N/A</t>
        </is>
      </c>
      <c r="F23" s="36">
        <f>(SUMIFS(Data!$R$2:$R$31,Data!$G$2:$G$31,"other_animal"))/1000</f>
        <v/>
      </c>
      <c r="G23" s="37">
        <f>IF(SUMIFS(Data!$R$2:$R$31,Data!$I$2:$I$31,"No")=0,"",F23*1000/SUMIFS(Data!$R$2:$R$31,Data!$I$2:$I$31,"No"))</f>
        <v/>
      </c>
      <c r="I23" s="45">
        <f>(SUMIFS(Data!$S$2:$S$31,Data!$G$2:$G$31,"other_animal")+SUMIFS(Data!$T$2:$T$31,Data!$G$2:$G$31,"other_animal"))/1000</f>
        <v/>
      </c>
      <c r="J23" s="46">
        <f>IF((SUMIFS(Data!$S$2:$S$31,Data!$I$2:$I$31,"No")+SUMIFS(Data!$T$2:$T$31,Data!$I$2:$I$31,"No"))=0,"",I23*1000/(SUMIFS(Data!$S$2:$S$31,Data!$I$2:$I$31,"No")+SUMIFS(Data!$T$2:$T$31,Data!$I$2:$I$31,"No")))</f>
        <v/>
      </c>
    </row>
    <row r="24" ht="15.75" customHeight="1" s="67">
      <c r="A24" s="29" t="inlineStr">
        <is>
          <t>FOOD GROUP 2</t>
        </is>
      </c>
      <c r="B24" s="30" t="n"/>
      <c r="C24" s="30" t="n"/>
      <c r="D24" s="30" t="n"/>
    </row>
    <row r="25" ht="15.75" customHeight="1" s="67">
      <c r="A25" s="54" t="inlineStr">
        <is>
          <t>Dairy</t>
        </is>
      </c>
      <c r="B25" s="28">
        <f>(SUMIFS(Data!$AD$2:$AD$31,Data!$G$2:$G$31,"dairy_animal"))/1000</f>
        <v/>
      </c>
      <c r="C25" s="32">
        <f>IF(SUMIFS(Data!$AD$2:$AD$31,Data!$I$2:$I$31,"No")=0,"",B25*1000/SUMIFS(Data!$AD$2:$AD$31,Data!$I$2:$I$31,"No"))</f>
        <v/>
      </c>
      <c r="D25" s="35" t="n">
        <v>0.19</v>
      </c>
      <c r="F25" s="36">
        <f>(SUMIFS(Data!$R$2:$R$31,Data!$G$2:$G$31,"dairy_animal"))/1000</f>
        <v/>
      </c>
      <c r="G25" s="37">
        <f>IF(SUMIFS(Data!$R$2:$R$31,Data!$I$2:$I$31,"No")=0,"",F25*1000/SUMIFS(Data!$R$2:$R$31,Data!$I$2:$I$31,"No"))</f>
        <v/>
      </c>
      <c r="I25" s="45">
        <f>(SUMIFS(Data!$S$2:$S$31,Data!$G$2:$G$31,"dairy_animal")+SUMIFS(Data!$T$2:$T$31,Data!$G$2:$G$31,"dairy_animal"))/1000</f>
        <v/>
      </c>
      <c r="J25" s="46">
        <f>IF((SUMIFS(Data!$S$2:$S$31,Data!$I$2:$I$31,"No")+SUMIFS(Data!$T$2:$T$31,Data!$I$2:$I$31,"No"))=0,"",I25*1000/(SUMIFS(Data!$S$2:$S$31,Data!$I$2:$I$31,"No")+SUMIFS(Data!$T$2:$T$31,Data!$I$2:$I$31,"No")))</f>
        <v/>
      </c>
    </row>
    <row r="26" ht="15.75" customHeight="1" s="67">
      <c r="A26" s="54" t="inlineStr">
        <is>
          <t>Dairy Alternatives</t>
        </is>
      </c>
      <c r="B26" s="28">
        <f>(SUMIFS(Data!$AD$2:$AD$31,Data!$G$2:$G$31,"dairy_alternative_plant"))/1000</f>
        <v/>
      </c>
      <c r="C26" s="32">
        <f>IF(SUMIFS(Data!$AD$2:$AD$31,Data!$I$2:$I$31,"No")=0,"",B26*1000/SUMIFS(Data!$AD$2:$AD$31,Data!$I$2:$I$31,"No"))</f>
        <v/>
      </c>
      <c r="D26" s="44" t="inlineStr">
        <is>
          <t>N/A</t>
        </is>
      </c>
      <c r="F26" s="36">
        <f>(SUMIFS(Data!$R$2:$R$31,Data!$G$2:$G$31,"dairy_alternative_plant"))/1000</f>
        <v/>
      </c>
      <c r="G26" s="37">
        <f>IF(SUMIFS(Data!$R$2:$R$31,Data!$I$2:$I$31,"No")=0,"",F26*1000/SUMIFS(Data!$R$2:$R$31,Data!$I$2:$I$31,"No"))</f>
        <v/>
      </c>
      <c r="I26" s="45">
        <f>(SUMIFS(Data!$S$2:$S$31,Data!$G$2:$G$31,"dairy_alternative_plant")+SUMIFS(Data!$T$2:$T$31,Data!$G$2:$G$31,"dairy_alternative_plant"))/1000</f>
        <v/>
      </c>
      <c r="J26" s="46">
        <f>IF((SUMIFS(Data!$S$2:$S$31,Data!$I$2:$I$31,"No")+SUMIFS(Data!$T$2:$T$31,Data!$I$2:$I$31,"No"))=0,"",I26*1000/(SUMIFS(Data!$S$2:$S$31,Data!$I$2:$I$31,"No")+SUMIFS(Data!$T$2:$T$31,Data!$I$2:$I$31,"No")))</f>
        <v/>
      </c>
    </row>
    <row r="27" ht="15.75" customHeight="1" s="67">
      <c r="A27" s="29" t="inlineStr">
        <is>
          <t>FOOD GROUP 3</t>
        </is>
      </c>
      <c r="B27" s="30" t="n"/>
      <c r="C27" s="30" t="n"/>
      <c r="D27" s="30" t="n"/>
    </row>
    <row r="28" ht="15.75" customHeight="1" s="67">
      <c r="A28" s="54" t="inlineStr">
        <is>
          <t>Animal-Based Fats</t>
        </is>
      </c>
      <c r="B28" s="28">
        <f>(SUMIFS(Data!$AD$2:$AD$31,Data!$G$2:$G$31,"animal_based_fat"))/1000</f>
        <v/>
      </c>
      <c r="C28" s="32">
        <f>IF(SUMIFS(Data!$AD$2:$AD$31,Data!$I$2:$I$31,"No")=0,"",B28*1000/SUMIFS(Data!$AD$2:$AD$31,Data!$I$2:$I$31,"No"))</f>
        <v/>
      </c>
      <c r="D28" s="35" t="n">
        <v>0.01</v>
      </c>
      <c r="F28" s="36">
        <f>(SUMIFS(Data!$R$2:$R$31,Data!$G$2:$G$31,"animal_based_fat"))/1000</f>
        <v/>
      </c>
      <c r="G28" s="37">
        <f>IF(SUMIFS(Data!$R$2:$R$31,Data!$I$2:$I$31,"No")=0,"",F28*1000/SUMIFS(Data!$R$2:$R$31,Data!$I$2:$I$31,"No"))</f>
        <v/>
      </c>
      <c r="I28" s="45">
        <f>(SUMIFS(Data!$S$2:$S$31,Data!$G$2:$G$31,"animal_based_fat")+SUMIFS(Data!$T$2:$T$31,Data!$G$2:$G$31,"animal_based_fat"))/1000</f>
        <v/>
      </c>
      <c r="J28" s="46">
        <f>IF((SUMIFS(Data!$S$2:$S$31,Data!$I$2:$I$31,"No")+SUMIFS(Data!$T$2:$T$31,Data!$I$2:$I$31,"No"))=0,"",I28*1000/(SUMIFS(Data!$S$2:$S$31,Data!$I$2:$I$31,"No")+SUMIFS(Data!$T$2:$T$31,Data!$I$2:$I$31,"No")))</f>
        <v/>
      </c>
    </row>
    <row r="29" ht="15.75" customHeight="1" s="67">
      <c r="A29" s="54" t="inlineStr">
        <is>
          <t>Plant-Based Fats</t>
        </is>
      </c>
      <c r="B29" s="28">
        <f>(SUMIFS(Data!$AD$2:$AD$31,Data!$G$2:$G$31,"plant_based_fat"))/1000</f>
        <v/>
      </c>
      <c r="C29" s="32">
        <f>IF(SUMIFS(Data!$AD$2:$AD$31,Data!$I$2:$I$31,"No")=0,"",B29*1000/SUMIFS(Data!$AD$2:$AD$31,Data!$I$2:$I$31,"No"))</f>
        <v/>
      </c>
      <c r="D29" s="35" t="n">
        <v>0.03</v>
      </c>
      <c r="F29" s="36">
        <f>(SUMIFS(Data!$R$2:$R$31,Data!$G$2:$G$31,"plant_based_fat"))/1000</f>
        <v/>
      </c>
      <c r="G29" s="37">
        <f>IF(SUMIFS(Data!$R$2:$R$31,Data!$I$2:$I$31,"No")=0,"",F29*1000/SUMIFS(Data!$R$2:$R$31,Data!$I$2:$I$31,"No"))</f>
        <v/>
      </c>
      <c r="I29" s="45">
        <f>(SUMIFS(Data!$S$2:$S$31,Data!$G$2:$G$31,"plant_based_fat")+SUMIFS(Data!$T$2:$T$31,Data!$G$2:$G$31,"plant_based_fat"))/1000</f>
        <v/>
      </c>
      <c r="J29" s="46">
        <f>IF((SUMIFS(Data!$S$2:$S$31,Data!$I$2:$I$31,"No")+SUMIFS(Data!$T$2:$T$31,Data!$I$2:$I$31,"No"))=0,"",I29*1000/(SUMIFS(Data!$S$2:$S$31,Data!$I$2:$I$31,"No")+SUMIFS(Data!$T$2:$T$31,Data!$I$2:$I$31,"No")))</f>
        <v/>
      </c>
    </row>
    <row r="30" ht="15.75" customHeight="1" s="67">
      <c r="A30" s="29" t="inlineStr">
        <is>
          <t>FOOD GROUP 4</t>
        </is>
      </c>
      <c r="B30" s="30" t="n"/>
      <c r="C30" s="30" t="n"/>
      <c r="D30" s="30" t="n"/>
    </row>
    <row r="31" ht="15.75" customHeight="1" s="67">
      <c r="A31" s="31" t="inlineStr">
        <is>
          <t>Fruits &amp; Vegetables</t>
        </is>
      </c>
      <c r="B31" s="33">
        <f>(SUMIFS(Data!$AD$2:$AD$31,Data!$F$2:$F$31,"FG4"))/1000</f>
        <v/>
      </c>
      <c r="C31" s="34">
        <f>IF(SUMIFS(Data!$AD$2:$AD$31,Data!$I$2:$I$31,"No")=0,"",B31*1000/SUMIFS(Data!$AD$2:$AD$31,Data!$I$2:$I$31,"No"))</f>
        <v/>
      </c>
      <c r="D31" s="35" t="n">
        <v>0.38</v>
      </c>
      <c r="F31" s="36">
        <f>(SUMIFS(Data!$R$2:$R$31,Data!$F$2:$F$31,"FG4"))/1000</f>
        <v/>
      </c>
      <c r="G31" s="37">
        <f>IF(SUMIFS(Data!$R$2:$R$31,Data!$I$2:$I$31,"No")=0,"",F31*1000/SUMIFS(Data!$R$2:$R$31,Data!$I$2:$I$31,"No"))</f>
        <v/>
      </c>
      <c r="I31" s="39">
        <f>(SUMIFS(Data!$S$2:$S$31,Data!$F$2:$F$31,"FG4")+SUMIFS(Data!$T$2:$T$31,Data!$F$2:$F$31,"FG4"))/1000</f>
        <v/>
      </c>
      <c r="J31" s="40">
        <f>IF((SUMIFS(Data!$S$2:$S$31,Data!$I$2:$I$31,"No")+SUMIFS(Data!$T$2:$T$31,Data!$I$2:$I$31,"No"))=0,"",I31*1000/(SUMIFS(Data!$S$2:$S$31,Data!$I$2:$I$31,"No")+SUMIFS(Data!$T$2:$T$31,Data!$I$2:$I$31,"No")))</f>
        <v/>
      </c>
    </row>
    <row r="32" ht="15.75" customHeight="1" s="67">
      <c r="A32" s="29" t="inlineStr">
        <is>
          <t>FOOD GROUP 5</t>
        </is>
      </c>
      <c r="B32" s="30" t="n"/>
      <c r="C32" s="30" t="n"/>
      <c r="D32" s="30" t="n"/>
    </row>
    <row r="33" ht="15.75" customHeight="1" s="67">
      <c r="A33" s="54" t="inlineStr">
        <is>
          <t>Whole Grains</t>
        </is>
      </c>
      <c r="B33" s="28">
        <f>(SUMIFS(Data!$AD$2:$AD$31,Data!$G$2:$G$31,"whole_grain"))/1000</f>
        <v/>
      </c>
      <c r="C33" s="32">
        <f>IF(SUMIFS(Data!$AD$2:$AD$31,Data!$I$2:$I$31,"No")=0,"",B33*1000/SUMIFS(Data!$AD$2:$AD$31,Data!$I$2:$I$31,"No"))</f>
        <v/>
      </c>
      <c r="D33" s="35" t="n">
        <v>0.18</v>
      </c>
      <c r="F33" s="36">
        <f>(SUMIFS(Data!$R$2:$R$31,Data!$G$2:$G$31,"whole_grain"))/1000</f>
        <v/>
      </c>
      <c r="G33" s="37">
        <f>IF(SUMIFS(Data!$R$2:$R$31,Data!$I$2:$I$31,"No")=0,"",F33*1000/SUMIFS(Data!$R$2:$R$31,Data!$I$2:$I$31,"No"))</f>
        <v/>
      </c>
      <c r="I33" s="45">
        <f>(SUMIFS(Data!$S$2:$S$31,Data!$G$2:$G$31,"whole_grain")+SUMIFS(Data!$T$2:$T$31,Data!$G$2:$G$31,"whole_grain"))/1000</f>
        <v/>
      </c>
      <c r="J33" s="46">
        <f>IF((SUMIFS(Data!$S$2:$S$31,Data!$I$2:$I$31,"No")+SUMIFS(Data!$T$2:$T$31,Data!$I$2:$I$31,"No"))=0,"",I33*1000/(SUMIFS(Data!$S$2:$S$31,Data!$I$2:$I$31,"No")+SUMIFS(Data!$T$2:$T$31,Data!$I$2:$I$31,"No")))</f>
        <v/>
      </c>
    </row>
    <row r="34" ht="15.75" customHeight="1" s="67">
      <c r="A34" s="54" t="inlineStr">
        <is>
          <t>Refined Grains</t>
        </is>
      </c>
      <c r="B34" s="28">
        <f>(SUMIFS(Data!$AD$2:$AD$31,Data!$G$2:$G$31,"refined_grain"))/1000</f>
        <v/>
      </c>
      <c r="C34" s="32">
        <f>IF(SUMIFS(Data!$AD$2:$AD$31,Data!$I$2:$I$31,"No")=0,"",B34*1000/SUMIFS(Data!$AD$2:$AD$31,Data!$I$2:$I$31,"No"))</f>
        <v/>
      </c>
      <c r="D34" s="35" t="n">
        <v>0</v>
      </c>
      <c r="F34" s="36">
        <f>(SUMIFS(Data!$R$2:$R$31,Data!$G$2:$G$31,"refined_grain"))/1000</f>
        <v/>
      </c>
      <c r="G34" s="37">
        <f>IF(SUMIFS(Data!$R$2:$R$31,Data!$I$2:$I$31,"No")=0,"",F34*1000/SUMIFS(Data!$R$2:$R$31,Data!$I$2:$I$31,"No"))</f>
        <v/>
      </c>
      <c r="I34" s="45">
        <f>(SUMIFS(Data!$S$2:$S$31,Data!$G$2:$G$31,"refined_grain")+SUMIFS(Data!$T$2:$T$31,Data!$G$2:$G$31,"refined_grain"))/1000</f>
        <v/>
      </c>
      <c r="J34" s="46">
        <f>IF((SUMIFS(Data!$S$2:$S$31,Data!$I$2:$I$31,"No")+SUMIFS(Data!$T$2:$T$31,Data!$I$2:$I$31,"No"))=0,"",I34*1000/(SUMIFS(Data!$S$2:$S$31,Data!$I$2:$I$31,"No")+SUMIFS(Data!$T$2:$T$31,Data!$I$2:$I$31,"No")))</f>
        <v/>
      </c>
    </row>
    <row r="35" ht="15.75" customHeight="1" s="67">
      <c r="A35" s="29" t="inlineStr">
        <is>
          <t>FOOD GROUP 6</t>
        </is>
      </c>
      <c r="B35" s="30" t="n"/>
      <c r="C35" s="30" t="n"/>
      <c r="D35" s="30" t="n"/>
    </row>
    <row r="36" ht="15.75" customHeight="1" s="67">
      <c r="A36" s="31" t="inlineStr">
        <is>
          <t>Starchy Vegetables</t>
        </is>
      </c>
      <c r="B36" s="33">
        <f>(SUMIFS(Data!$AD$2:$AD$31,Data!$F$2:$F$31,"FG6"))/1000</f>
        <v/>
      </c>
      <c r="C36" s="34">
        <f>IF(SUMIFS(Data!$AD$2:$AD$31,Data!$I$2:$I$31,"No")=0,"",B36*1000/SUMIFS(Data!$AD$2:$AD$31,Data!$I$2:$I$31,"No"))</f>
        <v/>
      </c>
      <c r="D36" s="35" t="n">
        <v>0.04</v>
      </c>
      <c r="F36" s="36">
        <f>(SUMIFS(Data!$R$2:$R$31,Data!$F$2:$F$31,"FG6"))/1000</f>
        <v/>
      </c>
      <c r="G36" s="37">
        <f>IF(SUMIFS(Data!$R$2:$R$31,Data!$I$2:$I$31,"No")=0,"",F36*1000/SUMIFS(Data!$R$2:$R$31,Data!$I$2:$I$31,"No"))</f>
        <v/>
      </c>
      <c r="I36" s="39">
        <f>(SUMIFS(Data!$S$2:$S$31,Data!$F$2:$F$31,"FG6")+SUMIFS(Data!$T$2:$T$31,Data!$F$2:$F$31,"FG6"))/1000</f>
        <v/>
      </c>
      <c r="J36" s="40">
        <f>IF((SUMIFS(Data!$S$2:$S$31,Data!$I$2:$I$31,"No")+SUMIFS(Data!$T$2:$T$31,Data!$I$2:$I$31,"No"))=0,"",I36*1000/(SUMIFS(Data!$S$2:$S$31,Data!$I$2:$I$31,"No")+SUMIFS(Data!$T$2:$T$31,Data!$I$2:$I$31,"No")))</f>
        <v/>
      </c>
    </row>
    <row r="37" ht="15.75" customHeight="1" s="67">
      <c r="A37" s="29" t="inlineStr">
        <is>
          <t>FOOD GROUP 7</t>
        </is>
      </c>
      <c r="B37" s="30" t="n"/>
      <c r="C37" s="30" t="n"/>
      <c r="D37" s="30" t="n"/>
    </row>
    <row r="38" ht="15.75" customHeight="1" s="67">
      <c r="A38" s="54" t="inlineStr">
        <is>
          <t>Plant-Based</t>
        </is>
      </c>
      <c r="B38" s="28">
        <f>(SUMIFS(Data!$AD$2:$AD$31,Data!$F$2:$F$31,"FG7",Data!$H$2:$H$31,"plant_based"))/1000</f>
        <v/>
      </c>
      <c r="C38" s="32">
        <f>IF(SUMIFS(Data!$AD$2:$AD$31,Data!$I$2:$I$31,"No")=0,"",B38*1000/SUMIFS(Data!$AD$2:$AD$31,Data!$I$2:$I$31,"No"))</f>
        <v/>
      </c>
      <c r="D38" s="44" t="inlineStr">
        <is>
          <t>N/A</t>
        </is>
      </c>
      <c r="F38" s="36">
        <f>(SUMIFS(Data!$R$2:$R$31,Data!$F$2:$F$31,"FG7",Data!$H$2:$H$31,"plant_based"))/1000</f>
        <v/>
      </c>
      <c r="G38" s="37">
        <f>IF(SUMIFS(Data!$R$2:$R$31,Data!$I$2:$I$31,"No")=0,"",F38*1000/SUMIFS(Data!$R$2:$R$31,Data!$I$2:$I$31,"No"))</f>
        <v/>
      </c>
      <c r="I38" s="45">
        <f>(SUMIFS(Data!$S$2:$S$31,Data!$F$2:$F$31,"FG7",Data!$H$2:$H$31,"plant_based")+SUMIFS(Data!$T$2:$T$31,Data!$F$2:$F$31,"FG7",Data!$H$2:$H$31,"plant_based"))/1000</f>
        <v/>
      </c>
      <c r="J38" s="46">
        <f>IF((SUMIFS(Data!$S$2:$S$31,Data!$I$2:$I$31,"No")+SUMIFS(Data!$T$2:$T$31,Data!$I$2:$I$31,"No"))=0,"",I38*1000/(SUMIFS(Data!$S$2:$S$31,Data!$I$2:$I$31,"No")+SUMIFS(Data!$T$2:$T$31,Data!$I$2:$I$31,"No")))</f>
        <v/>
      </c>
    </row>
    <row r="39" ht="15.75" customHeight="1" s="67">
      <c r="A39" s="54" t="inlineStr">
        <is>
          <t>Animal-Based</t>
        </is>
      </c>
      <c r="B39" s="28">
        <f>(SUMIFS(Data!$AD$2:$AD$31,Data!$F$2:$F$31,"FG7",Data!$H$2:$H$31,"animal_based"))/1000</f>
        <v/>
      </c>
      <c r="C39" s="32">
        <f>IF(SUMIFS(Data!$AD$2:$AD$31,Data!$I$2:$I$31,"No")=0,"",B39*1000/SUMIFS(Data!$AD$2:$AD$31,Data!$I$2:$I$31,"No"))</f>
        <v/>
      </c>
      <c r="D39" s="44" t="inlineStr">
        <is>
          <t>N/A</t>
        </is>
      </c>
      <c r="F39" s="36">
        <f>(SUMIFS(Data!$R$2:$R$31,Data!$F$2:$F$31,"FG7",Data!$H$2:$H$31,"animal_based"))/1000</f>
        <v/>
      </c>
      <c r="G39" s="37">
        <f>IF(SUMIFS(Data!$R$2:$R$31,Data!$I$2:$I$31,"No")=0,"",F39*1000/SUMIFS(Data!$R$2:$R$31,Data!$I$2:$I$31,"No"))</f>
        <v/>
      </c>
      <c r="I39" s="45">
        <f>(SUMIFS(Data!$S$2:$S$31,Data!$F$2:$F$31,"FG7",Data!$H$2:$H$31,"animal_based")+SUMIFS(Data!$T$2:$T$31,Data!$F$2:$F$31,"FG7",Data!$H$2:$H$31,"animal_based"))/1000</f>
        <v/>
      </c>
      <c r="J39" s="46">
        <f>IF((SUMIFS(Data!$S$2:$S$31,Data!$I$2:$I$31,"No")+SUMIFS(Data!$T$2:$T$31,Data!$I$2:$I$31,"No"))=0,"",I39*1000/(SUMIFS(Data!$S$2:$S$31,Data!$I$2:$I$31,"No")+SUMIFS(Data!$T$2:$T$31,Data!$I$2:$I$31,"No")))</f>
        <v/>
      </c>
    </row>
    <row r="40" ht="15.75" customHeight="1" s="67">
      <c r="A40" s="54" t="inlineStr">
        <is>
          <t>Origin not determined</t>
        </is>
      </c>
      <c r="B40" s="28">
        <f>(SUMIFS(Data!$AD$2:$AD$31,Data!$F$2:$F$31,"FG7",Data!$H$2:$H$31,"not applicable"))/1000</f>
        <v/>
      </c>
      <c r="C40" s="32">
        <f>IF(SUMIFS(Data!$AD$2:$AD$31,Data!$I$2:$I$31,"No")=0,"",B40*1000/SUMIFS(Data!$AD$2:$AD$31,Data!$I$2:$I$31,"No"))</f>
        <v/>
      </c>
      <c r="D40" s="44" t="inlineStr">
        <is>
          <t>N/A</t>
        </is>
      </c>
      <c r="F40" s="36">
        <f>(SUMIFS(Data!$R$2:$R$31,Data!$F$2:$F$31,"FG7",Data!$H$2:$H$31,"not applicable"))/1000</f>
        <v/>
      </c>
      <c r="G40" s="37">
        <f>IF(SUMIFS(Data!$R$2:$R$31,Data!$I$2:$I$31,"No")=0,"",F40*1000/SUMIFS(Data!$R$2:$R$31,Data!$I$2:$I$31,"No"))</f>
        <v/>
      </c>
      <c r="I40" s="45">
        <f>(SUMIFS(Data!$S$2:$S$31,Data!$F$2:$F$31,"FG7",Data!$H$2:$H$31,"not applicable")+SUMIFS(Data!$T$2:$T$31,Data!$F$2:$F$31,"FG7",Data!$H$2:$H$31,"not applicable"))/1000</f>
        <v/>
      </c>
      <c r="J40" s="46">
        <f>IF((SUMIFS(Data!$S$2:$S$31,Data!$I$2:$I$31,"No")+SUMIFS(Data!$T$2:$T$31,Data!$I$2:$I$31,"No"))=0,"",I40*1000/(SUMIFS(Data!$S$2:$S$31,Data!$I$2:$I$31,"No")+SUMIFS(Data!$T$2:$T$31,Data!$I$2:$I$31,"No")))</f>
        <v/>
      </c>
    </row>
    <row r="41" ht="15.75" customHeight="1" s="67"/>
    <row r="42" ht="15.75" customHeight="1" s="67">
      <c r="A42" s="29" t="inlineStr">
        <is>
          <t>FOOD GROUP 1 PROPORTION BY SOURCE</t>
        </is>
      </c>
      <c r="B42" s="30" t="n"/>
      <c r="C42" s="30" t="n"/>
      <c r="D42" s="30" t="n"/>
    </row>
    <row r="43" ht="15.75" customHeight="1" s="67">
      <c r="A43" s="54" t="inlineStr">
        <is>
          <t xml:space="preserve">    Plant</t>
        </is>
      </c>
      <c r="C43" s="32">
        <f>IF(((SUMIFS(Data!$AD$2:$AD$31,Data!$G$2:$G$31,"legumes")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SUMIFS(Data!$AD$2:$AD$31,Data!$G$2:$G$31,"other_animal")))=0,"",(SUMIFS(Data!$AD$2:$AD$31,Data!$G$2:$G$31,"legumes")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SUMIFS(Data!$AD$2:$AD$31,Data!$G$2:$G$31,"tofu_tempeh_seitan"))/((SUMIFS(Data!$AD$2:$AD$31,Data!$G$2:$G$31,"legumes")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SUMIFS(Data!$AD$2:$AD$31,Data!$G$2:$G$31,"other_animal"))))</f>
        <v/>
      </c>
      <c r="D43" s="35" t="n">
        <v>0.6</v>
      </c>
    </row>
    <row r="44" ht="15.75" customHeight="1" s="67">
      <c r="A44" s="54" t="inlineStr">
        <is>
          <t xml:space="preserve">    Animal</t>
        </is>
      </c>
      <c r="C44" s="32">
        <f>IF(((SUMIFS(Data!$AD$2:$AD$31,Data!$G$2:$G$31,"legumes")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SUMIFS(Data!$AD$2:$AD$31,Data!$G$2:$G$31,"other_animal")))=0,"",(SUMIFS(Data!$AD$2:$AD$31,Data!$G$2:$G$31,"red_meat") + SUMIFS(Data!$AD$2:$AD$31,Data!$G$2:$G$31,"poultry") + SUMIFS(Data!$AD$2:$AD$31,Data!$G$2:$G$31,"seafood") + SUMIFS(Data!$AD$2:$AD$31,Data!$G$2:$G$31,"eggs") + SUMIFS(Data!$AD$2:$AD$31,Data!$G$2:$G$31,"other_animal"))/((SUMIFS(Data!$AD$2:$AD$31,Data!$G$2:$G$31,"legumes")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SUMIFS(Data!$AD$2:$AD$31,Data!$G$2:$G$31,"other_animal"))))</f>
        <v/>
      </c>
      <c r="D44" s="35" t="n">
        <v>0.4</v>
      </c>
    </row>
    <row r="45" ht="15.75" customHeight="1" s="67">
      <c r="A45" s="29" t="inlineStr">
        <is>
          <t>FOOD GROUP 2 PROPORTION BY SOURCE</t>
        </is>
      </c>
      <c r="B45" s="30" t="n"/>
      <c r="C45" s="30" t="n"/>
      <c r="D45" s="30" t="n"/>
    </row>
    <row r="46" ht="15.75" customHeight="1" s="67">
      <c r="A46" s="54" t="inlineStr">
        <is>
          <t xml:space="preserve">    Plant</t>
        </is>
      </c>
      <c r="C46" s="32">
        <f>IF(((SUMIFS(Data!$AD$2:$AD$31,Data!$G$2:$G$31,"dairy_alternative_plant"))+(SUMIFS(Data!$AD$2:$AD$31,Data!$G$2:$G$31,"dairy_animal")))=0,"",(SUMIFS(Data!$AD$2:$AD$31,Data!$G$2:$G$31,"dairy_alternative_plant"))/((SUMIFS(Data!$AD$2:$AD$31,Data!$G$2:$G$31,"dairy_alternative_plant"))+(SUMIFS(Data!$AD$2:$AD$31,Data!$G$2:$G$31,"dairy_animal"))))</f>
        <v/>
      </c>
      <c r="D46" s="44" t="inlineStr">
        <is>
          <t>N/A</t>
        </is>
      </c>
    </row>
    <row r="47" ht="15.75" customHeight="1" s="67">
      <c r="A47" s="54" t="inlineStr">
        <is>
          <t xml:space="preserve">    Animal</t>
        </is>
      </c>
      <c r="C47" s="32">
        <f>IF(((SUMIFS(Data!$AD$2:$AD$31,Data!$G$2:$G$31,"dairy_alternative_plant"))+(SUMIFS(Data!$AD$2:$AD$31,Data!$G$2:$G$31,"dairy_animal")))=0,"",(SUMIFS(Data!$AD$2:$AD$31,Data!$G$2:$G$31,"dairy_animal"))/((SUMIFS(Data!$AD$2:$AD$31,Data!$G$2:$G$31,"dairy_alternative_plant"))+(SUMIFS(Data!$AD$2:$AD$31,Data!$G$2:$G$31,"dairy_animal"))))</f>
        <v/>
      </c>
      <c r="D47" s="44" t="inlineStr">
        <is>
          <t>N/A</t>
        </is>
      </c>
    </row>
    <row r="48" ht="15.75" customHeight="1" s="67">
      <c r="A48" s="29" t="inlineStr">
        <is>
          <t>WHOLE DIET PROPORTION BY SOURCE</t>
        </is>
      </c>
      <c r="B48" s="30" t="n"/>
      <c r="C48" s="30" t="n"/>
      <c r="D48" s="30" t="n"/>
    </row>
    <row r="49" ht="15.75" customHeight="1" s="67">
      <c r="A49" s="54" t="inlineStr">
        <is>
          <t xml:space="preserve">    Plant</t>
        </is>
      </c>
      <c r="C49" s="32">
        <f>IF((SUMIFS(Data!$AD$2:$AD$31,Data!$H$2:$H$31,"plant_based",Data!$I$2:$I$31,"No")+SUMIFS(Data!$AD$2:$AD$31,Data!$H$2:$H$31,"animal_based",Data!$I$2:$I$31,"No"))=0,"",(SUMIFS(Data!$AD$2:$AD$31,Data!$H$2:$H$31,"plant_based",Data!$I$2:$I$31,"No"))/(SUMIFS(Data!$AD$2:$AD$31,Data!$H$2:$H$31,"plant_based",Data!$I$2:$I$31,"No")+SUMIFS(Data!$AD$2:$AD$31,Data!$H$2:$H$31,"animal_based",Data!$I$2:$I$31,"No")))</f>
        <v/>
      </c>
      <c r="D49" s="35" t="n">
        <v>0.74</v>
      </c>
    </row>
    <row r="50" ht="15.75" customHeight="1" s="67">
      <c r="A50" s="54" t="inlineStr">
        <is>
          <t xml:space="preserve">    Animal</t>
        </is>
      </c>
      <c r="C50" s="32">
        <f>IF((SUMIFS(Data!$AD$2:$AD$31,Data!$H$2:$H$31,"plant_based",Data!$I$2:$I$31,"No")+SUMIFS(Data!$AD$2:$AD$31,Data!$H$2:$H$31,"animal_based",Data!$I$2:$I$31,"No"))=0,"",(SUMIFS(Data!$AD$2:$AD$31,Data!$H$2:$H$31,"animal_based",Data!$I$2:$I$31,"No"))/(SUMIFS(Data!$AD$2:$AD$31,Data!$H$2:$H$31,"plant_based",Data!$I$2:$I$31,"No")+SUMIFS(Data!$AD$2:$AD$31,Data!$H$2:$H$31,"animal_based",Data!$I$2:$I$31,"No")))</f>
        <v/>
      </c>
      <c r="D50" s="35" t="n">
        <v>0.26</v>
      </c>
    </row>
    <row r="51" ht="15.75" customHeight="1" s="67"/>
    <row r="52" ht="21.75" customHeight="1" s="67">
      <c r="A52" s="26" t="inlineStr">
        <is>
          <t xml:space="preserve">  COMPOSITE PRODUCTS</t>
        </is>
      </c>
    </row>
    <row r="53" ht="15.75" customHeight="1" s="67"/>
    <row r="54" ht="15.75" customHeight="1" s="67">
      <c r="A54" s="31" t="inlineStr">
        <is>
          <t>Share of composites in measured sales</t>
        </is>
      </c>
      <c r="C54" s="65">
        <f>IF(SUMIFS(Data!$AD$2:$AD$31,Data!$I$2:$I$31,"No")+SUMIFS(Data!$AD$2:$AD$31,Data!$I$2:$I$31,"Yes")=0,"",SUMIFS(Data!$AD$2:$AD$31,Data!$I$2:$I$31,"Yes")/(SUMIFS(Data!$AD$2:$AD$31,Data!$I$2:$I$31,"No")+SUMIFS(Data!$AD$2:$AD$31,Data!$I$2:$I$31,"Yes")))</f>
        <v/>
      </c>
    </row>
    <row r="55" ht="15.75" customHeight="1" s="67"/>
    <row r="56" ht="30" customHeight="1" s="67">
      <c r="A56" s="19" t="inlineStr">
        <is>
          <t>COMPOSITION</t>
        </is>
      </c>
      <c r="B56" s="20" t="inlineStr">
        <is>
          <t>Mass (t)</t>
        </is>
      </c>
      <c r="C56" s="20" t="inlineStr">
        <is>
          <t>Share</t>
        </is>
      </c>
    </row>
    <row r="57" ht="15.75" customHeight="1" s="67">
      <c r="A57" s="54" t="inlineStr">
        <is>
          <t>Meat-based</t>
        </is>
      </c>
      <c r="B57" s="28">
        <f>SUMIFS(Data!$R$2:$R$31,Data!$J$2:$J$31,"meat_based")/1000</f>
        <v/>
      </c>
      <c r="C57" s="32">
        <f>IF(SUMIFS(Data!$AD$2:$AD$31,Data!$I$2:$I$31,"Yes")=0,"",B57*1000/SUMIFS(Data!$AD$2:$AD$31,Data!$I$2:$I$31,"Yes"))</f>
        <v/>
      </c>
    </row>
    <row r="58" ht="15.75" customHeight="1" s="67">
      <c r="A58" s="54" t="inlineStr">
        <is>
          <t>Seafood-based</t>
        </is>
      </c>
      <c r="B58" s="28">
        <f>SUMIFS(Data!$R$2:$R$31,Data!$J$2:$J$31,"seafood_based")/1000</f>
        <v/>
      </c>
      <c r="C58" s="32">
        <f>IF(SUMIFS(Data!$AD$2:$AD$31,Data!$I$2:$I$31,"Yes")=0,"",B58*1000/SUMIFS(Data!$AD$2:$AD$31,Data!$I$2:$I$31,"Yes"))</f>
        <v/>
      </c>
    </row>
    <row r="59" ht="15.75" customHeight="1" s="67">
      <c r="A59" s="54" t="inlineStr">
        <is>
          <t>Vegetarian</t>
        </is>
      </c>
      <c r="B59" s="28">
        <f>SUMIFS(Data!$R$2:$R$31,Data!$J$2:$J$31,"vegetarian")/1000</f>
        <v/>
      </c>
      <c r="C59" s="32">
        <f>IF(SUMIFS(Data!$AD$2:$AD$31,Data!$I$2:$I$31,"Yes")=0,"",B59*1000/SUMIFS(Data!$AD$2:$AD$31,Data!$I$2:$I$31,"Yes"))</f>
        <v/>
      </c>
    </row>
    <row r="60" ht="15.75" customHeight="1" s="67">
      <c r="A60" s="54" t="inlineStr">
        <is>
          <t>Vegan</t>
        </is>
      </c>
      <c r="B60" s="28">
        <f>SUMIFS(Data!$R$2:$R$31,Data!$J$2:$J$31,"vegan")/1000</f>
        <v/>
      </c>
      <c r="C60" s="32">
        <f>IF(SUMIFS(Data!$AD$2:$AD$31,Data!$I$2:$I$31,"Yes")=0,"",B60*1000/SUMIFS(Data!$AD$2:$AD$31,Data!$I$2:$I$31,"Yes"))</f>
        <v/>
      </c>
    </row>
    <row r="61" ht="15.75" customHeight="1" s="67">
      <c r="A61" s="31" t="inlineStr">
        <is>
          <t>Total</t>
        </is>
      </c>
      <c r="B61" s="33">
        <f>SUM(B57:B60)</f>
        <v/>
      </c>
      <c r="C61" s="34">
        <f>SUM(C57:C60)</f>
        <v/>
      </c>
    </row>
    <row r="62" ht="15.75" customHeight="1" s="67"/>
    <row r="63" ht="15.75" customHeight="1" s="67"/>
    <row r="64" ht="25.5" customHeight="1" s="67">
      <c r="A64" s="66" t="inlineStr">
        <is>
          <t>PHD column: the Planetary Health Diet proportions as printed in the "PHD" column of Appendix D of the WWF Planet-based diet methodology. A dash flags a row for which Appendix D gives no target.</t>
        </is>
      </c>
    </row>
    <row r="65" ht="25.5" customHeight="1" s="67">
      <c r="A65" s="66" t="inlineStr">
        <is>
          <t xml:space="preserve">The weights after applying the WWF methodology in Appendix B dairy equivalents) are the primary columns (left-hand side). The right-hand column gives the product mass actually sold, without this conversion. </t>
        </is>
      </c>
    </row>
    <row r="66" ht="25.5" customHeight="1" s="67">
      <c r="A66" s="66" t="inlineStr">
        <is>
          <t>Composites are counted at the total weight of the product, as the "composite product level" approach of step 1 prescribes.</t>
        </is>
      </c>
    </row>
    <row r="67" ht="15.75" customHeight="1" s="67"/>
    <row r="68" ht="15.75" customHeight="1" s="67"/>
    <row r="69" ht="21.75" customHeight="1" s="67">
      <c r="A69" s="58" t="inlineStr">
        <is>
          <t xml:space="preserve">  THE SAME BREAKDOWN, IN PROTEIN</t>
        </is>
      </c>
    </row>
    <row r="70" ht="25.5" customHeight="1" s="67">
      <c r="A70" s="66" t="inlineStr">
        <is>
          <t xml:space="preserve">The mass and protein columns are in product mass, without the Appendix B dairy equivalent. </t>
        </is>
      </c>
    </row>
    <row r="71" ht="30" customHeight="1" s="67">
      <c r="A71" s="19" t="inlineStr">
        <is>
          <t>Food group</t>
        </is>
      </c>
      <c r="B71" s="20" t="inlineStr">
        <is>
          <t>Mass (t)</t>
        </is>
      </c>
      <c r="C71" s="20" t="inlineStr">
        <is>
          <t>Protein (t)</t>
        </is>
      </c>
      <c r="D71" s="20" t="inlineStr">
        <is>
          <t>Plant protein (t)</t>
        </is>
      </c>
      <c r="E71" s="20" t="inlineStr">
        <is>
          <t>Animal protein (t)</t>
        </is>
      </c>
      <c r="F71" s="20" t="inlineStr">
        <is>
          <t>Plant share (weight)</t>
        </is>
      </c>
      <c r="G71" s="20" t="inlineStr">
        <is>
          <t>Animal share (weight)</t>
        </is>
      </c>
    </row>
    <row r="72" ht="15.75" customHeight="1" s="67">
      <c r="A72" s="54" t="inlineStr">
        <is>
          <t>FG1 · Proteins</t>
        </is>
      </c>
      <c r="B72" s="28">
        <f>SUMIFS(Data!$R$2:$R$31,Data!$F$2:$F$31,"FG1")/1000</f>
        <v/>
      </c>
      <c r="C72" s="28">
        <f>D72+E72</f>
        <v/>
      </c>
      <c r="D72" s="28">
        <f>SUMIFS(Data!$S$2:$S$31,Data!$F$2:$F$31,"FG1")/1000</f>
        <v/>
      </c>
      <c r="E72" s="28">
        <f>SUMIFS(Data!$T$2:$T$31,Data!$F$2:$F$31,"FG1")/1000</f>
        <v/>
      </c>
      <c r="F72" s="32">
        <f>IF(SUMIFS(Data!$R$2:$R$31,Data!$F$2:$F$31,"FG1",Data!$H$2:$H$31,"plant_based")+SUMIFS(Data!$R$2:$R$31,Data!$F$2:$F$31,"FG1",Data!$H$2:$H$31,"animal_based")=0,"",SUMIFS(Data!$R$2:$R$31,Data!$F$2:$F$31,"FG1",Data!$H$2:$H$31,"plant_based")/(SUMIFS(Data!$R$2:$R$31,Data!$F$2:$F$31,"FG1",Data!$H$2:$H$31,"plant_based")+SUMIFS(Data!$R$2:$R$31,Data!$F$2:$F$31,"FG1",Data!$H$2:$H$31,"animal_based")))</f>
        <v/>
      </c>
      <c r="G72" s="32">
        <f>IF(SUMIFS(Data!$R$2:$R$31,Data!$F$2:$F$31,"FG1",Data!$H$2:$H$31,"plant_based")+SUMIFS(Data!$R$2:$R$31,Data!$F$2:$F$31,"FG1",Data!$H$2:$H$31,"animal_based")=0,"",SUMIFS(Data!$R$2:$R$31,Data!$F$2:$F$31,"FG1",Data!$H$2:$H$31,"animal_based")/(SUMIFS(Data!$R$2:$R$31,Data!$F$2:$F$31,"FG1",Data!$H$2:$H$31,"plant_based")+SUMIFS(Data!$R$2:$R$31,Data!$F$2:$F$31,"FG1",Data!$H$2:$H$31,"animal_based")))</f>
        <v/>
      </c>
    </row>
    <row r="73" ht="15.75" customHeight="1" s="67">
      <c r="A73" s="54" t="inlineStr">
        <is>
          <t>FG2 · Dairy products and alternatives</t>
        </is>
      </c>
      <c r="B73" s="28">
        <f>SUMIFS(Data!$R$2:$R$31,Data!$F$2:$F$31,"FG2")/1000</f>
        <v/>
      </c>
      <c r="C73" s="28">
        <f>D73+E73</f>
        <v/>
      </c>
      <c r="D73" s="28">
        <f>SUMIFS(Data!$S$2:$S$31,Data!$F$2:$F$31,"FG2")/1000</f>
        <v/>
      </c>
      <c r="E73" s="28">
        <f>SUMIFS(Data!$T$2:$T$31,Data!$F$2:$F$31,"FG2")/1000</f>
        <v/>
      </c>
      <c r="F73" s="32">
        <f>IF(SUMIFS(Data!$R$2:$R$31,Data!$F$2:$F$31,"FG2",Data!$H$2:$H$31,"plant_based")+SUMIFS(Data!$R$2:$R$31,Data!$F$2:$F$31,"FG2",Data!$H$2:$H$31,"animal_based")=0,"",SUMIFS(Data!$R$2:$R$31,Data!$F$2:$F$31,"FG2",Data!$H$2:$H$31,"plant_based")/(SUMIFS(Data!$R$2:$R$31,Data!$F$2:$F$31,"FG2",Data!$H$2:$H$31,"plant_based")+SUMIFS(Data!$R$2:$R$31,Data!$F$2:$F$31,"FG2",Data!$H$2:$H$31,"animal_based")))</f>
        <v/>
      </c>
      <c r="G73" s="32">
        <f>IF(SUMIFS(Data!$R$2:$R$31,Data!$F$2:$F$31,"FG2",Data!$H$2:$H$31,"plant_based")+SUMIFS(Data!$R$2:$R$31,Data!$F$2:$F$31,"FG2",Data!$H$2:$H$31,"animal_based")=0,"",SUMIFS(Data!$R$2:$R$31,Data!$F$2:$F$31,"FG2",Data!$H$2:$H$31,"animal_based")/(SUMIFS(Data!$R$2:$R$31,Data!$F$2:$F$31,"FG2",Data!$H$2:$H$31,"plant_based")+SUMIFS(Data!$R$2:$R$31,Data!$F$2:$F$31,"FG2",Data!$H$2:$H$31,"animal_based")))</f>
        <v/>
      </c>
    </row>
    <row r="74" ht="15.75" customHeight="1" s="67">
      <c r="A74" s="54" t="inlineStr">
        <is>
          <t>FG3 · Fats</t>
        </is>
      </c>
      <c r="B74" s="28">
        <f>SUMIFS(Data!$R$2:$R$31,Data!$F$2:$F$31,"FG3")/1000</f>
        <v/>
      </c>
      <c r="C74" s="28">
        <f>D74+E74</f>
        <v/>
      </c>
      <c r="D74" s="28">
        <f>SUMIFS(Data!$S$2:$S$31,Data!$F$2:$F$31,"FG3")/1000</f>
        <v/>
      </c>
      <c r="E74" s="28">
        <f>SUMIFS(Data!$T$2:$T$31,Data!$F$2:$F$31,"FG3")/1000</f>
        <v/>
      </c>
      <c r="F74" s="32">
        <f>IF(SUMIFS(Data!$R$2:$R$31,Data!$F$2:$F$31,"FG3",Data!$H$2:$H$31,"plant_based")+SUMIFS(Data!$R$2:$R$31,Data!$F$2:$F$31,"FG3",Data!$H$2:$H$31,"animal_based")=0,"",SUMIFS(Data!$R$2:$R$31,Data!$F$2:$F$31,"FG3",Data!$H$2:$H$31,"plant_based")/(SUMIFS(Data!$R$2:$R$31,Data!$F$2:$F$31,"FG3",Data!$H$2:$H$31,"plant_based")+SUMIFS(Data!$R$2:$R$31,Data!$F$2:$F$31,"FG3",Data!$H$2:$H$31,"animal_based")))</f>
        <v/>
      </c>
      <c r="G74" s="32">
        <f>IF(SUMIFS(Data!$R$2:$R$31,Data!$F$2:$F$31,"FG3",Data!$H$2:$H$31,"plant_based")+SUMIFS(Data!$R$2:$R$31,Data!$F$2:$F$31,"FG3",Data!$H$2:$H$31,"animal_based")=0,"",SUMIFS(Data!$R$2:$R$31,Data!$F$2:$F$31,"FG3",Data!$H$2:$H$31,"animal_based")/(SUMIFS(Data!$R$2:$R$31,Data!$F$2:$F$31,"FG3",Data!$H$2:$H$31,"plant_based")+SUMIFS(Data!$R$2:$R$31,Data!$F$2:$F$31,"FG3",Data!$H$2:$H$31,"animal_based")))</f>
        <v/>
      </c>
    </row>
    <row r="75" ht="15.75" customHeight="1" s="67">
      <c r="A75" s="54" t="inlineStr">
        <is>
          <t>FG4 · Fruits and vegetables</t>
        </is>
      </c>
      <c r="B75" s="28">
        <f>SUMIFS(Data!$R$2:$R$31,Data!$F$2:$F$31,"FG4")/1000</f>
        <v/>
      </c>
      <c r="C75" s="28">
        <f>D75+E75</f>
        <v/>
      </c>
      <c r="D75" s="28">
        <f>SUMIFS(Data!$S$2:$S$31,Data!$F$2:$F$31,"FG4")/1000</f>
        <v/>
      </c>
      <c r="E75" s="28">
        <f>SUMIFS(Data!$T$2:$T$31,Data!$F$2:$F$31,"FG4")/1000</f>
        <v/>
      </c>
      <c r="F75" s="32">
        <f>IF(SUMIFS(Data!$R$2:$R$31,Data!$F$2:$F$31,"FG4",Data!$H$2:$H$31,"plant_based")+SUMIFS(Data!$R$2:$R$31,Data!$F$2:$F$31,"FG4",Data!$H$2:$H$31,"animal_based")=0,"",SUMIFS(Data!$R$2:$R$31,Data!$F$2:$F$31,"FG4",Data!$H$2:$H$31,"plant_based")/(SUMIFS(Data!$R$2:$R$31,Data!$F$2:$F$31,"FG4",Data!$H$2:$H$31,"plant_based")+SUMIFS(Data!$R$2:$R$31,Data!$F$2:$F$31,"FG4",Data!$H$2:$H$31,"animal_based")))</f>
        <v/>
      </c>
      <c r="G75" s="32">
        <f>IF(SUMIFS(Data!$R$2:$R$31,Data!$F$2:$F$31,"FG4",Data!$H$2:$H$31,"plant_based")+SUMIFS(Data!$R$2:$R$31,Data!$F$2:$F$31,"FG4",Data!$H$2:$H$31,"animal_based")=0,"",SUMIFS(Data!$R$2:$R$31,Data!$F$2:$F$31,"FG4",Data!$H$2:$H$31,"animal_based")/(SUMIFS(Data!$R$2:$R$31,Data!$F$2:$F$31,"FG4",Data!$H$2:$H$31,"plant_based")+SUMIFS(Data!$R$2:$R$31,Data!$F$2:$F$31,"FG4",Data!$H$2:$H$31,"animal_based")))</f>
        <v/>
      </c>
    </row>
    <row r="76" ht="15.75" customHeight="1" s="67">
      <c r="A76" s="54" t="inlineStr">
        <is>
          <t>FG5 · Cereals</t>
        </is>
      </c>
      <c r="B76" s="28">
        <f>SUMIFS(Data!$R$2:$R$31,Data!$F$2:$F$31,"FG5")/1000</f>
        <v/>
      </c>
      <c r="C76" s="28">
        <f>D76+E76</f>
        <v/>
      </c>
      <c r="D76" s="28">
        <f>SUMIFS(Data!$S$2:$S$31,Data!$F$2:$F$31,"FG5")/1000</f>
        <v/>
      </c>
      <c r="E76" s="28">
        <f>SUMIFS(Data!$T$2:$T$31,Data!$F$2:$F$31,"FG5")/1000</f>
        <v/>
      </c>
      <c r="F76" s="32">
        <f>IF(SUMIFS(Data!$R$2:$R$31,Data!$F$2:$F$31,"FG5",Data!$H$2:$H$31,"plant_based")+SUMIFS(Data!$R$2:$R$31,Data!$F$2:$F$31,"FG5",Data!$H$2:$H$31,"animal_based")=0,"",SUMIFS(Data!$R$2:$R$31,Data!$F$2:$F$31,"FG5",Data!$H$2:$H$31,"plant_based")/(SUMIFS(Data!$R$2:$R$31,Data!$F$2:$F$31,"FG5",Data!$H$2:$H$31,"plant_based")+SUMIFS(Data!$R$2:$R$31,Data!$F$2:$F$31,"FG5",Data!$H$2:$H$31,"animal_based")))</f>
        <v/>
      </c>
      <c r="G76" s="32">
        <f>IF(SUMIFS(Data!$R$2:$R$31,Data!$F$2:$F$31,"FG5",Data!$H$2:$H$31,"plant_based")+SUMIFS(Data!$R$2:$R$31,Data!$F$2:$F$31,"FG5",Data!$H$2:$H$31,"animal_based")=0,"",SUMIFS(Data!$R$2:$R$31,Data!$F$2:$F$31,"FG5",Data!$H$2:$H$31,"animal_based")/(SUMIFS(Data!$R$2:$R$31,Data!$F$2:$F$31,"FG5",Data!$H$2:$H$31,"plant_based")+SUMIFS(Data!$R$2:$R$31,Data!$F$2:$F$31,"FG5",Data!$H$2:$H$31,"animal_based")))</f>
        <v/>
      </c>
    </row>
    <row r="77" ht="15.75" customHeight="1" s="67">
      <c r="A77" s="54" t="inlineStr">
        <is>
          <t>FG6 · Starchy vegetables</t>
        </is>
      </c>
      <c r="B77" s="28">
        <f>SUMIFS(Data!$R$2:$R$31,Data!$F$2:$F$31,"FG6")/1000</f>
        <v/>
      </c>
      <c r="C77" s="28">
        <f>D77+E77</f>
        <v/>
      </c>
      <c r="D77" s="28">
        <f>SUMIFS(Data!$S$2:$S$31,Data!$F$2:$F$31,"FG6")/1000</f>
        <v/>
      </c>
      <c r="E77" s="28">
        <f>SUMIFS(Data!$T$2:$T$31,Data!$F$2:$F$31,"FG6")/1000</f>
        <v/>
      </c>
      <c r="F77" s="32">
        <f>IF(SUMIFS(Data!$R$2:$R$31,Data!$F$2:$F$31,"FG6",Data!$H$2:$H$31,"plant_based")+SUMIFS(Data!$R$2:$R$31,Data!$F$2:$F$31,"FG6",Data!$H$2:$H$31,"animal_based")=0,"",SUMIFS(Data!$R$2:$R$31,Data!$F$2:$F$31,"FG6",Data!$H$2:$H$31,"plant_based")/(SUMIFS(Data!$R$2:$R$31,Data!$F$2:$F$31,"FG6",Data!$H$2:$H$31,"plant_based")+SUMIFS(Data!$R$2:$R$31,Data!$F$2:$F$31,"FG6",Data!$H$2:$H$31,"animal_based")))</f>
        <v/>
      </c>
      <c r="G77" s="32">
        <f>IF(SUMIFS(Data!$R$2:$R$31,Data!$F$2:$F$31,"FG6",Data!$H$2:$H$31,"plant_based")+SUMIFS(Data!$R$2:$R$31,Data!$F$2:$F$31,"FG6",Data!$H$2:$H$31,"animal_based")=0,"",SUMIFS(Data!$R$2:$R$31,Data!$F$2:$F$31,"FG6",Data!$H$2:$H$31,"animal_based")/(SUMIFS(Data!$R$2:$R$31,Data!$F$2:$F$31,"FG6",Data!$H$2:$H$31,"plant_based")+SUMIFS(Data!$R$2:$R$31,Data!$F$2:$F$31,"FG6",Data!$H$2:$H$31,"animal_based")))</f>
        <v/>
      </c>
    </row>
    <row r="78" ht="15.75" customHeight="1" s="67">
      <c r="A78" s="54" t="inlineStr">
        <is>
          <t>FG7 · Discretionary</t>
        </is>
      </c>
      <c r="B78" s="28">
        <f>SUMIFS(Data!$R$2:$R$31,Data!$F$2:$F$31,"FG7")/1000</f>
        <v/>
      </c>
      <c r="C78" s="28">
        <f>D78+E78</f>
        <v/>
      </c>
      <c r="D78" s="28">
        <f>SUMIFS(Data!$S$2:$S$31,Data!$F$2:$F$31,"FG7")/1000</f>
        <v/>
      </c>
      <c r="E78" s="28">
        <f>SUMIFS(Data!$T$2:$T$31,Data!$F$2:$F$31,"FG7")/1000</f>
        <v/>
      </c>
      <c r="F78" s="32">
        <f>IF(SUMIFS(Data!$R$2:$R$31,Data!$F$2:$F$31,"FG7",Data!$H$2:$H$31,"plant_based")+SUMIFS(Data!$R$2:$R$31,Data!$F$2:$F$31,"FG7",Data!$H$2:$H$31,"animal_based")=0,"",SUMIFS(Data!$R$2:$R$31,Data!$F$2:$F$31,"FG7",Data!$H$2:$H$31,"plant_based")/(SUMIFS(Data!$R$2:$R$31,Data!$F$2:$F$31,"FG7",Data!$H$2:$H$31,"plant_based")+SUMIFS(Data!$R$2:$R$31,Data!$F$2:$F$31,"FG7",Data!$H$2:$H$31,"animal_based")))</f>
        <v/>
      </c>
      <c r="G78" s="32">
        <f>IF(SUMIFS(Data!$R$2:$R$31,Data!$F$2:$F$31,"FG7",Data!$H$2:$H$31,"plant_based")+SUMIFS(Data!$R$2:$R$31,Data!$F$2:$F$31,"FG7",Data!$H$2:$H$31,"animal_based")=0,"",SUMIFS(Data!$R$2:$R$31,Data!$F$2:$F$31,"FG7",Data!$H$2:$H$31,"animal_based")/(SUMIFS(Data!$R$2:$R$31,Data!$F$2:$F$31,"FG7",Data!$H$2:$H$31,"plant_based")+SUMIFS(Data!$R$2:$R$31,Data!$F$2:$F$31,"FG7",Data!$H$2:$H$31,"animal_based")))</f>
        <v/>
      </c>
    </row>
    <row r="79" ht="15.75" customHeight="1" s="67">
      <c r="A79" s="43" t="inlineStr">
        <is>
          <t>Total</t>
        </is>
      </c>
      <c r="B79" s="56">
        <f>SUM(B72:B78)</f>
        <v/>
      </c>
      <c r="C79" s="56">
        <f>SUM(C72:C78)</f>
        <v/>
      </c>
      <c r="D79" s="56">
        <f>SUM(D72:D78)</f>
        <v/>
      </c>
      <c r="E79" s="56">
        <f>SUM(E72:E78)</f>
        <v/>
      </c>
      <c r="F79" s="57">
        <f>IF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=0,"",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/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))</f>
        <v/>
      </c>
      <c r="G79" s="57">
        <f>IF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=0,"",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/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))</f>
        <v/>
      </c>
    </row>
    <row r="80" ht="15.75" customHeight="1" s="67"/>
    <row r="81" ht="15.75" customHeight="1" s="67">
      <c r="A81" s="31" t="inlineStr">
        <is>
          <t>The rest of the catalogue</t>
        </is>
      </c>
    </row>
    <row r="82" ht="30" customHeight="1" s="67">
      <c r="A82" s="19" t="n"/>
      <c r="B82" s="20" t="inlineStr">
        <is>
          <t>Mass (t)</t>
        </is>
      </c>
      <c r="C82" s="20" t="inlineStr">
        <is>
          <t>Protein (t)</t>
        </is>
      </c>
      <c r="D82" s="20" t="inlineStr">
        <is>
          <t>Plant protein (t)</t>
        </is>
      </c>
      <c r="E82" s="20" t="inlineStr">
        <is>
          <t>Animal protein (t)</t>
        </is>
      </c>
      <c r="F82" s="20" t="inlineStr">
        <is>
          <t>Plant share (weight)</t>
        </is>
      </c>
      <c r="G82" s="20" t="inlineStr">
        <is>
          <t>Animal share (weight)</t>
        </is>
      </c>
    </row>
    <row r="83" ht="15.75" customHeight="1" s="67">
      <c r="A83" s="54" t="inlineStr">
        <is>
          <t>Composite products</t>
        </is>
      </c>
      <c r="B83" s="28">
        <f>SUMIFS(Data!$R$2:$R$31,Data!$I$2:$I$31,"Yes")/1000</f>
        <v/>
      </c>
      <c r="C83" s="28">
        <f>D83+E83</f>
        <v/>
      </c>
      <c r="D83" s="28">
        <f>SUMIFS(Data!$S$2:$S$31,Data!$I$2:$I$31,"Yes")/1000</f>
        <v/>
      </c>
      <c r="E83" s="28">
        <f>SUMIFS(Data!$T$2:$T$31,Data!$I$2:$I$31,"Yes")/1000</f>
        <v/>
      </c>
      <c r="F83" s="32">
        <f>IF(SUMIFS(Data!$R$2:$R$31,Data!$I$2:$I$31,"Yes",Data!$H$2:$H$31,"plant_based")+SUMIFS(Data!$R$2:$R$31,Data!$I$2:$I$31,"Yes",Data!$H$2:$H$31,"animal_based")=0,"",SUMIFS(Data!$R$2:$R$31,Data!$I$2:$I$31,"Yes",Data!$H$2:$H$31,"plant_based")/(SUMIFS(Data!$R$2:$R$31,Data!$I$2:$I$31,"Yes",Data!$H$2:$H$31,"plant_based")+SUMIFS(Data!$R$2:$R$31,Data!$I$2:$I$31,"Yes",Data!$H$2:$H$31,"animal_based")))</f>
        <v/>
      </c>
      <c r="G83" s="32">
        <f>IF(SUMIFS(Data!$R$2:$R$31,Data!$I$2:$I$31,"Yes",Data!$H$2:$H$31,"plant_based")+SUMIFS(Data!$R$2:$R$31,Data!$I$2:$I$31,"Yes",Data!$H$2:$H$31,"animal_based")=0,"",SUMIFS(Data!$R$2:$R$31,Data!$I$2:$I$31,"Yes",Data!$H$2:$H$31,"animal_based")/(SUMIFS(Data!$R$2:$R$31,Data!$I$2:$I$31,"Yes",Data!$H$2:$H$31,"plant_based")+SUMIFS(Data!$R$2:$R$31,Data!$I$2:$I$31,"Yes",Data!$H$2:$H$31,"animal_based")))</f>
        <v/>
      </c>
    </row>
    <row r="84" ht="15.75" customHeight="1" s="67">
      <c r="A84" s="54" t="inlineStr">
        <is>
          <t>Outside WWF scope</t>
        </is>
      </c>
      <c r="B84" s="28">
        <f>SUMIFS(Data!$R$2:$R$31,Data!$I$2:$I$31,"outside WWF scope")/1000</f>
        <v/>
      </c>
      <c r="C84" s="28">
        <f>D84+E84</f>
        <v/>
      </c>
      <c r="D84" s="28">
        <f>SUMIFS(Data!$S$2:$S$31,Data!$I$2:$I$31,"outside WWF scope")/1000</f>
        <v/>
      </c>
      <c r="E84" s="28">
        <f>SUMIFS(Data!$T$2:$T$31,Data!$I$2:$I$31,"outside WWF scope")/1000</f>
        <v/>
      </c>
      <c r="F84" s="32">
        <f>IF(SUMIFS(Data!$R$2:$R$31,Data!$I$2:$I$31,"outside WWF scope",Data!$H$2:$H$31,"plant_based")+SUMIFS(Data!$R$2:$R$31,Data!$I$2:$I$31,"outside WWF scope",Data!$H$2:$H$31,"animal_based")=0,"",SUMIFS(Data!$R$2:$R$31,Data!$I$2:$I$31,"outside WWF scope",Data!$H$2:$H$31,"plant_based")/(SUMIFS(Data!$R$2:$R$31,Data!$I$2:$I$31,"outside WWF scope",Data!$H$2:$H$31,"plant_based")+SUMIFS(Data!$R$2:$R$31,Data!$I$2:$I$31,"outside WWF scope",Data!$H$2:$H$31,"animal_based")))</f>
        <v/>
      </c>
      <c r="G84" s="32">
        <f>IF(SUMIFS(Data!$R$2:$R$31,Data!$I$2:$I$31,"outside WWF scope",Data!$H$2:$H$31,"plant_based")+SUMIFS(Data!$R$2:$R$31,Data!$I$2:$I$31,"outside WWF scope",Data!$H$2:$H$31,"animal_based")=0,"",SUMIFS(Data!$R$2:$R$31,Data!$I$2:$I$31,"outside WWF scope",Data!$H$2:$H$31,"animal_based")/(SUMIFS(Data!$R$2:$R$31,Data!$I$2:$I$31,"outside WWF scope",Data!$H$2:$H$31,"plant_based")+SUMIFS(Data!$R$2:$R$31,Data!$I$2:$I$31,"outside WWF scope",Data!$H$2:$H$31,"animal_based")))</f>
        <v/>
      </c>
    </row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</sheetData>
  <mergeCells count="15">
    <mergeCell ref="B3:G3"/>
    <mergeCell ref="A66:G66"/>
    <mergeCell ref="A54:B54"/>
    <mergeCell ref="A1:G1"/>
    <mergeCell ref="A70:G70"/>
    <mergeCell ref="B5:G5"/>
    <mergeCell ref="A69:G69"/>
    <mergeCell ref="B4:G4"/>
    <mergeCell ref="A7:J7"/>
    <mergeCell ref="A52:G52"/>
    <mergeCell ref="A64:G64"/>
    <mergeCell ref="A65:G65"/>
    <mergeCell ref="B9:C9"/>
    <mergeCell ref="I9:J9"/>
    <mergeCell ref="F9:G9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selection activeCell="A1" sqref="A1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CATEGORY</t>
        </is>
      </c>
    </row>
    <row r="2"/>
    <row r="3" ht="21.75" customHeight="1" s="67">
      <c r="A3" s="26" t="inlineStr">
        <is>
          <t>WWF sub-groups</t>
        </is>
      </c>
    </row>
    <row r="4"/>
    <row r="5" ht="30" customHeight="1" s="67">
      <c r="A5" s="19" t="inlineStr">
        <is>
          <t>WWF subgroup</t>
        </is>
      </c>
      <c r="B5" s="20" t="inlineStr">
        <is>
          <t>Mass (t)</t>
        </is>
      </c>
      <c r="C5" s="20" t="inlineStr">
        <is>
          <t>Protein (t)</t>
        </is>
      </c>
      <c r="D5" s="20" t="inlineStr">
        <is>
          <t>Plant protein (t)</t>
        </is>
      </c>
      <c r="E5" s="20" t="inlineStr">
        <is>
          <t>Animal protein (t)</t>
        </is>
      </c>
      <c r="F5" s="20" t="inlineStr">
        <is>
          <t>Plant share (weight)</t>
        </is>
      </c>
      <c r="G5" s="20" t="inlineStr">
        <is>
          <t>Animal share (weight)</t>
        </is>
      </c>
    </row>
    <row r="6">
      <c r="A6" s="54" t="inlineStr">
        <is>
          <t>FG1 · red_meat</t>
        </is>
      </c>
      <c r="B6" s="28">
        <f>SUMIFS(Data!$R$2:$R$31,Data!$G$2:$G$31,"red_meat")/1000</f>
        <v/>
      </c>
      <c r="C6" s="28">
        <f>D6+E6</f>
        <v/>
      </c>
      <c r="D6" s="28">
        <f>SUMIFS(Data!$S$2:$S$31,Data!$G$2:$G$31,"red_meat")/1000</f>
        <v/>
      </c>
      <c r="E6" s="28">
        <f>SUMIFS(Data!$T$2:$T$31,Data!$G$2:$G$31,"red_meat")/1000</f>
        <v/>
      </c>
      <c r="F6" s="32">
        <f>IF(SUMIFS(Data!$R$2:$R$31,Data!$G$2:$G$31,"red_meat",Data!$H$2:$H$31,"plant_based")+SUMIFS(Data!$R$2:$R$31,Data!$G$2:$G$31,"red_meat",Data!$H$2:$H$31,"animal_based")=0,"",SUMIFS(Data!$R$2:$R$31,Data!$G$2:$G$31,"red_meat",Data!$H$2:$H$31,"plant_based")/(SUMIFS(Data!$R$2:$R$31,Data!$G$2:$G$31,"red_meat",Data!$H$2:$H$31,"plant_based")+SUMIFS(Data!$R$2:$R$31,Data!$G$2:$G$31,"red_meat",Data!$H$2:$H$31,"animal_based")))</f>
        <v/>
      </c>
      <c r="G6" s="32">
        <f>IF(SUMIFS(Data!$R$2:$R$31,Data!$G$2:$G$31,"red_meat",Data!$H$2:$H$31,"plant_based")+SUMIFS(Data!$R$2:$R$31,Data!$G$2:$G$31,"red_meat",Data!$H$2:$H$31,"animal_based")=0,"",SUMIFS(Data!$R$2:$R$31,Data!$G$2:$G$31,"red_meat",Data!$H$2:$H$31,"animal_based")/(SUMIFS(Data!$R$2:$R$31,Data!$G$2:$G$31,"red_meat",Data!$H$2:$H$31,"plant_based")+SUMIFS(Data!$R$2:$R$31,Data!$G$2:$G$31,"red_meat",Data!$H$2:$H$31,"animal_based")))</f>
        <v/>
      </c>
    </row>
    <row r="7">
      <c r="A7" s="54" t="inlineStr">
        <is>
          <t>FG1 · poultry</t>
        </is>
      </c>
      <c r="B7" s="28">
        <f>SUMIFS(Data!$R$2:$R$31,Data!$G$2:$G$31,"poultry")/1000</f>
        <v/>
      </c>
      <c r="C7" s="28">
        <f>D7+E7</f>
        <v/>
      </c>
      <c r="D7" s="28">
        <f>SUMIFS(Data!$S$2:$S$31,Data!$G$2:$G$31,"poultry")/1000</f>
        <v/>
      </c>
      <c r="E7" s="28">
        <f>SUMIFS(Data!$T$2:$T$31,Data!$G$2:$G$31,"poultry")/1000</f>
        <v/>
      </c>
      <c r="F7" s="32">
        <f>IF(SUMIFS(Data!$R$2:$R$31,Data!$G$2:$G$31,"poultry",Data!$H$2:$H$31,"plant_based")+SUMIFS(Data!$R$2:$R$31,Data!$G$2:$G$31,"poultry",Data!$H$2:$H$31,"animal_based")=0,"",SUMIFS(Data!$R$2:$R$31,Data!$G$2:$G$31,"poultry",Data!$H$2:$H$31,"plant_based")/(SUMIFS(Data!$R$2:$R$31,Data!$G$2:$G$31,"poultry",Data!$H$2:$H$31,"plant_based")+SUMIFS(Data!$R$2:$R$31,Data!$G$2:$G$31,"poultry",Data!$H$2:$H$31,"animal_based")))</f>
        <v/>
      </c>
      <c r="G7" s="32">
        <f>IF(SUMIFS(Data!$R$2:$R$31,Data!$G$2:$G$31,"poultry",Data!$H$2:$H$31,"plant_based")+SUMIFS(Data!$R$2:$R$31,Data!$G$2:$G$31,"poultry",Data!$H$2:$H$31,"animal_based")=0,"",SUMIFS(Data!$R$2:$R$31,Data!$G$2:$G$31,"poultry",Data!$H$2:$H$31,"animal_based")/(SUMIFS(Data!$R$2:$R$31,Data!$G$2:$G$31,"poultry",Data!$H$2:$H$31,"plant_based")+SUMIFS(Data!$R$2:$R$31,Data!$G$2:$G$31,"poultry",Data!$H$2:$H$31,"animal_based")))</f>
        <v/>
      </c>
    </row>
    <row r="8">
      <c r="A8" s="54" t="inlineStr">
        <is>
          <t>FG1 · seafood</t>
        </is>
      </c>
      <c r="B8" s="28">
        <f>SUMIFS(Data!$R$2:$R$31,Data!$G$2:$G$31,"seafood")/1000</f>
        <v/>
      </c>
      <c r="C8" s="28">
        <f>D8+E8</f>
        <v/>
      </c>
      <c r="D8" s="28">
        <f>SUMIFS(Data!$S$2:$S$31,Data!$G$2:$G$31,"seafood")/1000</f>
        <v/>
      </c>
      <c r="E8" s="28">
        <f>SUMIFS(Data!$T$2:$T$31,Data!$G$2:$G$31,"seafood")/1000</f>
        <v/>
      </c>
      <c r="F8" s="32">
        <f>IF(SUMIFS(Data!$R$2:$R$31,Data!$G$2:$G$31,"seafood",Data!$H$2:$H$31,"plant_based")+SUMIFS(Data!$R$2:$R$31,Data!$G$2:$G$31,"seafood",Data!$H$2:$H$31,"animal_based")=0,"",SUMIFS(Data!$R$2:$R$31,Data!$G$2:$G$31,"seafood",Data!$H$2:$H$31,"plant_based")/(SUMIFS(Data!$R$2:$R$31,Data!$G$2:$G$31,"seafood",Data!$H$2:$H$31,"plant_based")+SUMIFS(Data!$R$2:$R$31,Data!$G$2:$G$31,"seafood",Data!$H$2:$H$31,"animal_based")))</f>
        <v/>
      </c>
      <c r="G8" s="32">
        <f>IF(SUMIFS(Data!$R$2:$R$31,Data!$G$2:$G$31,"seafood",Data!$H$2:$H$31,"plant_based")+SUMIFS(Data!$R$2:$R$31,Data!$G$2:$G$31,"seafood",Data!$H$2:$H$31,"animal_based")=0,"",SUMIFS(Data!$R$2:$R$31,Data!$G$2:$G$31,"seafood",Data!$H$2:$H$31,"animal_based")/(SUMIFS(Data!$R$2:$R$31,Data!$G$2:$G$31,"seafood",Data!$H$2:$H$31,"plant_based")+SUMIFS(Data!$R$2:$R$31,Data!$G$2:$G$31,"seafood",Data!$H$2:$H$31,"animal_based")))</f>
        <v/>
      </c>
    </row>
    <row r="9">
      <c r="A9" s="54" t="inlineStr">
        <is>
          <t>FG1 · eggs</t>
        </is>
      </c>
      <c r="B9" s="28">
        <f>SUMIFS(Data!$R$2:$R$31,Data!$G$2:$G$31,"eggs")/1000</f>
        <v/>
      </c>
      <c r="C9" s="28">
        <f>D9+E9</f>
        <v/>
      </c>
      <c r="D9" s="28">
        <f>SUMIFS(Data!$S$2:$S$31,Data!$G$2:$G$31,"eggs")/1000</f>
        <v/>
      </c>
      <c r="E9" s="28">
        <f>SUMIFS(Data!$T$2:$T$31,Data!$G$2:$G$31,"eggs")/1000</f>
        <v/>
      </c>
      <c r="F9" s="32">
        <f>IF(SUMIFS(Data!$R$2:$R$31,Data!$G$2:$G$31,"eggs",Data!$H$2:$H$31,"plant_based")+SUMIFS(Data!$R$2:$R$31,Data!$G$2:$G$31,"eggs",Data!$H$2:$H$31,"animal_based")=0,"",SUMIFS(Data!$R$2:$R$31,Data!$G$2:$G$31,"eggs",Data!$H$2:$H$31,"plant_based")/(SUMIFS(Data!$R$2:$R$31,Data!$G$2:$G$31,"eggs",Data!$H$2:$H$31,"plant_based")+SUMIFS(Data!$R$2:$R$31,Data!$G$2:$G$31,"eggs",Data!$H$2:$H$31,"animal_based")))</f>
        <v/>
      </c>
      <c r="G9" s="32">
        <f>IF(SUMIFS(Data!$R$2:$R$31,Data!$G$2:$G$31,"eggs",Data!$H$2:$H$31,"plant_based")+SUMIFS(Data!$R$2:$R$31,Data!$G$2:$G$31,"eggs",Data!$H$2:$H$31,"animal_based")=0,"",SUMIFS(Data!$R$2:$R$31,Data!$G$2:$G$31,"eggs",Data!$H$2:$H$31,"animal_based")/(SUMIFS(Data!$R$2:$R$31,Data!$G$2:$G$31,"eggs",Data!$H$2:$H$31,"plant_based")+SUMIFS(Data!$R$2:$R$31,Data!$G$2:$G$31,"eggs",Data!$H$2:$H$31,"animal_based")))</f>
        <v/>
      </c>
    </row>
    <row r="10">
      <c r="A10" s="54" t="inlineStr">
        <is>
          <t>FG1 · other_animal</t>
        </is>
      </c>
      <c r="B10" s="28">
        <f>SUMIFS(Data!$R$2:$R$31,Data!$G$2:$G$31,"other_animal")/1000</f>
        <v/>
      </c>
      <c r="C10" s="28">
        <f>D10+E10</f>
        <v/>
      </c>
      <c r="D10" s="28">
        <f>SUMIFS(Data!$S$2:$S$31,Data!$G$2:$G$31,"other_animal")/1000</f>
        <v/>
      </c>
      <c r="E10" s="28">
        <f>SUMIFS(Data!$T$2:$T$31,Data!$G$2:$G$31,"other_animal")/1000</f>
        <v/>
      </c>
      <c r="F10" s="32">
        <f>IF(SUMIFS(Data!$R$2:$R$31,Data!$G$2:$G$31,"other_animal",Data!$H$2:$H$31,"plant_based")+SUMIFS(Data!$R$2:$R$31,Data!$G$2:$G$31,"other_animal",Data!$H$2:$H$31,"animal_based")=0,"",SUMIFS(Data!$R$2:$R$31,Data!$G$2:$G$31,"other_animal",Data!$H$2:$H$31,"plant_based")/(SUMIFS(Data!$R$2:$R$31,Data!$G$2:$G$31,"other_animal",Data!$H$2:$H$31,"plant_based")+SUMIFS(Data!$R$2:$R$31,Data!$G$2:$G$31,"other_animal",Data!$H$2:$H$31,"animal_based")))</f>
        <v/>
      </c>
      <c r="G10" s="32">
        <f>IF(SUMIFS(Data!$R$2:$R$31,Data!$G$2:$G$31,"other_animal",Data!$H$2:$H$31,"plant_based")+SUMIFS(Data!$R$2:$R$31,Data!$G$2:$G$31,"other_animal",Data!$H$2:$H$31,"animal_based")=0,"",SUMIFS(Data!$R$2:$R$31,Data!$G$2:$G$31,"other_animal",Data!$H$2:$H$31,"animal_based")/(SUMIFS(Data!$R$2:$R$31,Data!$G$2:$G$31,"other_animal",Data!$H$2:$H$31,"plant_based")+SUMIFS(Data!$R$2:$R$31,Data!$G$2:$G$31,"other_animal",Data!$H$2:$H$31,"animal_based")))</f>
        <v/>
      </c>
    </row>
    <row r="11">
      <c r="A11" s="54" t="inlineStr">
        <is>
          <t>FG1 · legumes</t>
        </is>
      </c>
      <c r="B11" s="28">
        <f>SUMIFS(Data!$R$2:$R$31,Data!$G$2:$G$31,"legumes")/1000</f>
        <v/>
      </c>
      <c r="C11" s="28">
        <f>D11+E11</f>
        <v/>
      </c>
      <c r="D11" s="28">
        <f>SUMIFS(Data!$S$2:$S$31,Data!$G$2:$G$31,"legumes")/1000</f>
        <v/>
      </c>
      <c r="E11" s="28">
        <f>SUMIFS(Data!$T$2:$T$31,Data!$G$2:$G$31,"legumes")/1000</f>
        <v/>
      </c>
      <c r="F11" s="32">
        <f>IF(SUMIFS(Data!$R$2:$R$31,Data!$G$2:$G$31,"legumes",Data!$H$2:$H$31,"plant_based")+SUMIFS(Data!$R$2:$R$31,Data!$G$2:$G$31,"legumes",Data!$H$2:$H$31,"animal_based")=0,"",SUMIFS(Data!$R$2:$R$31,Data!$G$2:$G$31,"legumes",Data!$H$2:$H$31,"plant_based")/(SUMIFS(Data!$R$2:$R$31,Data!$G$2:$G$31,"legumes",Data!$H$2:$H$31,"plant_based")+SUMIFS(Data!$R$2:$R$31,Data!$G$2:$G$31,"legumes",Data!$H$2:$H$31,"animal_based")))</f>
        <v/>
      </c>
      <c r="G11" s="32">
        <f>IF(SUMIFS(Data!$R$2:$R$31,Data!$G$2:$G$31,"legumes",Data!$H$2:$H$31,"plant_based")+SUMIFS(Data!$R$2:$R$31,Data!$G$2:$G$31,"legumes",Data!$H$2:$H$31,"animal_based")=0,"",SUMIFS(Data!$R$2:$R$31,Data!$G$2:$G$31,"legumes",Data!$H$2:$H$31,"animal_based")/(SUMIFS(Data!$R$2:$R$31,Data!$G$2:$G$31,"legumes",Data!$H$2:$H$31,"plant_based")+SUMIFS(Data!$R$2:$R$31,Data!$G$2:$G$31,"legumes",Data!$H$2:$H$31,"animal_based")))</f>
        <v/>
      </c>
    </row>
    <row r="12">
      <c r="A12" s="54" t="inlineStr">
        <is>
          <t>FG1 · nuts</t>
        </is>
      </c>
      <c r="B12" s="28">
        <f>SUMIFS(Data!$R$2:$R$31,Data!$G$2:$G$31,"nuts")/1000</f>
        <v/>
      </c>
      <c r="C12" s="28">
        <f>D12+E12</f>
        <v/>
      </c>
      <c r="D12" s="28">
        <f>SUMIFS(Data!$S$2:$S$31,Data!$G$2:$G$31,"nuts")/1000</f>
        <v/>
      </c>
      <c r="E12" s="28">
        <f>SUMIFS(Data!$T$2:$T$31,Data!$G$2:$G$31,"nuts")/1000</f>
        <v/>
      </c>
      <c r="F12" s="32">
        <f>IF(SUMIFS(Data!$R$2:$R$31,Data!$G$2:$G$31,"nuts",Data!$H$2:$H$31,"plant_based")+SUMIFS(Data!$R$2:$R$31,Data!$G$2:$G$31,"nuts",Data!$H$2:$H$31,"animal_based")=0,"",SUMIFS(Data!$R$2:$R$31,Data!$G$2:$G$31,"nuts",Data!$H$2:$H$31,"plant_based")/(SUMIFS(Data!$R$2:$R$31,Data!$G$2:$G$31,"nuts",Data!$H$2:$H$31,"plant_based")+SUMIFS(Data!$R$2:$R$31,Data!$G$2:$G$31,"nuts",Data!$H$2:$H$31,"animal_based")))</f>
        <v/>
      </c>
      <c r="G12" s="32">
        <f>IF(SUMIFS(Data!$R$2:$R$31,Data!$G$2:$G$31,"nuts",Data!$H$2:$H$31,"plant_based")+SUMIFS(Data!$R$2:$R$31,Data!$G$2:$G$31,"nuts",Data!$H$2:$H$31,"animal_based")=0,"",SUMIFS(Data!$R$2:$R$31,Data!$G$2:$G$31,"nuts",Data!$H$2:$H$31,"animal_based")/(SUMIFS(Data!$R$2:$R$31,Data!$G$2:$G$31,"nuts",Data!$H$2:$H$31,"plant_based")+SUMIFS(Data!$R$2:$R$31,Data!$G$2:$G$31,"nuts",Data!$H$2:$H$31,"animal_based")))</f>
        <v/>
      </c>
    </row>
    <row r="13">
      <c r="A13" s="54" t="inlineStr">
        <is>
          <t>FG1 · seeds</t>
        </is>
      </c>
      <c r="B13" s="28">
        <f>SUMIFS(Data!$R$2:$R$31,Data!$G$2:$G$31,"seeds")/1000</f>
        <v/>
      </c>
      <c r="C13" s="28">
        <f>D13+E13</f>
        <v/>
      </c>
      <c r="D13" s="28">
        <f>SUMIFS(Data!$S$2:$S$31,Data!$G$2:$G$31,"seeds")/1000</f>
        <v/>
      </c>
      <c r="E13" s="28">
        <f>SUMIFS(Data!$T$2:$T$31,Data!$G$2:$G$31,"seeds")/1000</f>
        <v/>
      </c>
      <c r="F13" s="32">
        <f>IF(SUMIFS(Data!$R$2:$R$31,Data!$G$2:$G$31,"seeds",Data!$H$2:$H$31,"plant_based")+SUMIFS(Data!$R$2:$R$31,Data!$G$2:$G$31,"seeds",Data!$H$2:$H$31,"animal_based")=0,"",SUMIFS(Data!$R$2:$R$31,Data!$G$2:$G$31,"seeds",Data!$H$2:$H$31,"plant_based")/(SUMIFS(Data!$R$2:$R$31,Data!$G$2:$G$31,"seeds",Data!$H$2:$H$31,"plant_based")+SUMIFS(Data!$R$2:$R$31,Data!$G$2:$G$31,"seeds",Data!$H$2:$H$31,"animal_based")))</f>
        <v/>
      </c>
      <c r="G13" s="32">
        <f>IF(SUMIFS(Data!$R$2:$R$31,Data!$G$2:$G$31,"seeds",Data!$H$2:$H$31,"plant_based")+SUMIFS(Data!$R$2:$R$31,Data!$G$2:$G$31,"seeds",Data!$H$2:$H$31,"animal_based")=0,"",SUMIFS(Data!$R$2:$R$31,Data!$G$2:$G$31,"seeds",Data!$H$2:$H$31,"animal_based")/(SUMIFS(Data!$R$2:$R$31,Data!$G$2:$G$31,"seeds",Data!$H$2:$H$31,"plant_based")+SUMIFS(Data!$R$2:$R$31,Data!$G$2:$G$31,"seeds",Data!$H$2:$H$31,"animal_based")))</f>
        <v/>
      </c>
    </row>
    <row r="14">
      <c r="A14" s="54" t="inlineStr">
        <is>
          <t>FG1 · tofu_tempeh_seitan</t>
        </is>
      </c>
      <c r="B14" s="28">
        <f>SUMIFS(Data!$R$2:$R$31,Data!$G$2:$G$31,"tofu_tempeh_seitan")/1000</f>
        <v/>
      </c>
      <c r="C14" s="28">
        <f>D14+E14</f>
        <v/>
      </c>
      <c r="D14" s="28">
        <f>SUMIFS(Data!$S$2:$S$31,Data!$G$2:$G$31,"tofu_tempeh_seitan")/1000</f>
        <v/>
      </c>
      <c r="E14" s="28">
        <f>SUMIFS(Data!$T$2:$T$31,Data!$G$2:$G$31,"tofu_tempeh_seitan")/1000</f>
        <v/>
      </c>
      <c r="F14" s="32">
        <f>IF(SUMIFS(Data!$R$2:$R$31,Data!$G$2:$G$31,"tofu_tempeh_seitan",Data!$H$2:$H$31,"plant_based")+SUMIFS(Data!$R$2:$R$31,Data!$G$2:$G$31,"tofu_tempeh_seitan",Data!$H$2:$H$31,"animal_based")=0,"",SUMIFS(Data!$R$2:$R$31,Data!$G$2:$G$31,"tofu_tempeh_seitan",Data!$H$2:$H$31,"plant_based")/(SUMIFS(Data!$R$2:$R$31,Data!$G$2:$G$31,"tofu_tempeh_seitan",Data!$H$2:$H$31,"plant_based")+SUMIFS(Data!$R$2:$R$31,Data!$G$2:$G$31,"tofu_tempeh_seitan",Data!$H$2:$H$31,"animal_based")))</f>
        <v/>
      </c>
      <c r="G14" s="32">
        <f>IF(SUMIFS(Data!$R$2:$R$31,Data!$G$2:$G$31,"tofu_tempeh_seitan",Data!$H$2:$H$31,"plant_based")+SUMIFS(Data!$R$2:$R$31,Data!$G$2:$G$31,"tofu_tempeh_seitan",Data!$H$2:$H$31,"animal_based")=0,"",SUMIFS(Data!$R$2:$R$31,Data!$G$2:$G$31,"tofu_tempeh_seitan",Data!$H$2:$H$31,"animal_based")/(SUMIFS(Data!$R$2:$R$31,Data!$G$2:$G$31,"tofu_tempeh_seitan",Data!$H$2:$H$31,"plant_based")+SUMIFS(Data!$R$2:$R$31,Data!$G$2:$G$31,"tofu_tempeh_seitan",Data!$H$2:$H$31,"animal_based")))</f>
        <v/>
      </c>
    </row>
    <row r="15">
      <c r="A15" s="54" t="inlineStr">
        <is>
          <t>FG1 · meat_egg_seafood_alternatives</t>
        </is>
      </c>
      <c r="B15" s="28">
        <f>SUMIFS(Data!$R$2:$R$31,Data!$G$2:$G$31,"meat_egg_seafood_alternatives")/1000</f>
        <v/>
      </c>
      <c r="C15" s="28">
        <f>D15+E15</f>
        <v/>
      </c>
      <c r="D15" s="28">
        <f>SUMIFS(Data!$S$2:$S$31,Data!$G$2:$G$31,"meat_egg_seafood_alternatives")/1000</f>
        <v/>
      </c>
      <c r="E15" s="28">
        <f>SUMIFS(Data!$T$2:$T$31,Data!$G$2:$G$31,"meat_egg_seafood_alternatives")/1000</f>
        <v/>
      </c>
      <c r="F15" s="32">
        <f>IF(SUMIFS(Data!$R$2:$R$31,Data!$G$2:$G$31,"meat_egg_seafood_alternatives",Data!$H$2:$H$31,"plant_based")+SUMIFS(Data!$R$2:$R$31,Data!$G$2:$G$31,"meat_egg_seafood_alternatives",Data!$H$2:$H$31,"animal_based")=0,"",SUMIFS(Data!$R$2:$R$31,Data!$G$2:$G$31,"meat_egg_seafood_alternatives",Data!$H$2:$H$31,"plant_based")/(SUMIFS(Data!$R$2:$R$31,Data!$G$2:$G$31,"meat_egg_seafood_alternatives",Data!$H$2:$H$31,"plant_based")+SUMIFS(Data!$R$2:$R$31,Data!$G$2:$G$31,"meat_egg_seafood_alternatives",Data!$H$2:$H$31,"animal_based")))</f>
        <v/>
      </c>
      <c r="G15" s="32">
        <f>IF(SUMIFS(Data!$R$2:$R$31,Data!$G$2:$G$31,"meat_egg_seafood_alternatives",Data!$H$2:$H$31,"plant_based")+SUMIFS(Data!$R$2:$R$31,Data!$G$2:$G$31,"meat_egg_seafood_alternatives",Data!$H$2:$H$31,"animal_based")=0,"",SUMIFS(Data!$R$2:$R$31,Data!$G$2:$G$31,"meat_egg_seafood_alternatives",Data!$H$2:$H$31,"animal_based")/(SUMIFS(Data!$R$2:$R$31,Data!$G$2:$G$31,"meat_egg_seafood_alternatives",Data!$H$2:$H$31,"plant_based")+SUMIFS(Data!$R$2:$R$31,Data!$G$2:$G$31,"meat_egg_seafood_alternatives",Data!$H$2:$H$31,"animal_based")))</f>
        <v/>
      </c>
    </row>
    <row r="16">
      <c r="A16" s="54" t="inlineStr">
        <is>
          <t>FG2 · dairy_animal</t>
        </is>
      </c>
      <c r="B16" s="28">
        <f>SUMIFS(Data!$R$2:$R$31,Data!$G$2:$G$31,"dairy_animal")/1000</f>
        <v/>
      </c>
      <c r="C16" s="28">
        <f>D16+E16</f>
        <v/>
      </c>
      <c r="D16" s="28">
        <f>SUMIFS(Data!$S$2:$S$31,Data!$G$2:$G$31,"dairy_animal")/1000</f>
        <v/>
      </c>
      <c r="E16" s="28">
        <f>SUMIFS(Data!$T$2:$T$31,Data!$G$2:$G$31,"dairy_animal")/1000</f>
        <v/>
      </c>
      <c r="F16" s="32">
        <f>IF(SUMIFS(Data!$R$2:$R$31,Data!$G$2:$G$31,"dairy_animal",Data!$H$2:$H$31,"plant_based")+SUMIFS(Data!$R$2:$R$31,Data!$G$2:$G$31,"dairy_animal",Data!$H$2:$H$31,"animal_based")=0,"",SUMIFS(Data!$R$2:$R$31,Data!$G$2:$G$31,"dairy_animal",Data!$H$2:$H$31,"plant_based")/(SUMIFS(Data!$R$2:$R$31,Data!$G$2:$G$31,"dairy_animal",Data!$H$2:$H$31,"plant_based")+SUMIFS(Data!$R$2:$R$31,Data!$G$2:$G$31,"dairy_animal",Data!$H$2:$H$31,"animal_based")))</f>
        <v/>
      </c>
      <c r="G16" s="32">
        <f>IF(SUMIFS(Data!$R$2:$R$31,Data!$G$2:$G$31,"dairy_animal",Data!$H$2:$H$31,"plant_based")+SUMIFS(Data!$R$2:$R$31,Data!$G$2:$G$31,"dairy_animal",Data!$H$2:$H$31,"animal_based")=0,"",SUMIFS(Data!$R$2:$R$31,Data!$G$2:$G$31,"dairy_animal",Data!$H$2:$H$31,"animal_based")/(SUMIFS(Data!$R$2:$R$31,Data!$G$2:$G$31,"dairy_animal",Data!$H$2:$H$31,"plant_based")+SUMIFS(Data!$R$2:$R$31,Data!$G$2:$G$31,"dairy_animal",Data!$H$2:$H$31,"animal_based")))</f>
        <v/>
      </c>
    </row>
    <row r="17">
      <c r="A17" s="54" t="inlineStr">
        <is>
          <t>FG2 · dairy_alternative_plant</t>
        </is>
      </c>
      <c r="B17" s="28">
        <f>SUMIFS(Data!$R$2:$R$31,Data!$G$2:$G$31,"dairy_alternative_plant")/1000</f>
        <v/>
      </c>
      <c r="C17" s="28">
        <f>D17+E17</f>
        <v/>
      </c>
      <c r="D17" s="28">
        <f>SUMIFS(Data!$S$2:$S$31,Data!$G$2:$G$31,"dairy_alternative_plant")/1000</f>
        <v/>
      </c>
      <c r="E17" s="28">
        <f>SUMIFS(Data!$T$2:$T$31,Data!$G$2:$G$31,"dairy_alternative_plant")/1000</f>
        <v/>
      </c>
      <c r="F17" s="32">
        <f>IF(SUMIFS(Data!$R$2:$R$31,Data!$G$2:$G$31,"dairy_alternative_plant",Data!$H$2:$H$31,"plant_based")+SUMIFS(Data!$R$2:$R$31,Data!$G$2:$G$31,"dairy_alternative_plant",Data!$H$2:$H$31,"animal_based")=0,"",SUMIFS(Data!$R$2:$R$31,Data!$G$2:$G$31,"dairy_alternative_plant",Data!$H$2:$H$31,"plant_based")/(SUMIFS(Data!$R$2:$R$31,Data!$G$2:$G$31,"dairy_alternative_plant",Data!$H$2:$H$31,"plant_based")+SUMIFS(Data!$R$2:$R$31,Data!$G$2:$G$31,"dairy_alternative_plant",Data!$H$2:$H$31,"animal_based")))</f>
        <v/>
      </c>
      <c r="G17" s="32">
        <f>IF(SUMIFS(Data!$R$2:$R$31,Data!$G$2:$G$31,"dairy_alternative_plant",Data!$H$2:$H$31,"plant_based")+SUMIFS(Data!$R$2:$R$31,Data!$G$2:$G$31,"dairy_alternative_plant",Data!$H$2:$H$31,"animal_based")=0,"",SUMIFS(Data!$R$2:$R$31,Data!$G$2:$G$31,"dairy_alternative_plant",Data!$H$2:$H$31,"animal_based")/(SUMIFS(Data!$R$2:$R$31,Data!$G$2:$G$31,"dairy_alternative_plant",Data!$H$2:$H$31,"plant_based")+SUMIFS(Data!$R$2:$R$31,Data!$G$2:$G$31,"dairy_alternative_plant",Data!$H$2:$H$31,"animal_based")))</f>
        <v/>
      </c>
    </row>
    <row r="18">
      <c r="A18" s="54" t="inlineStr">
        <is>
          <t>FG3 · animal_based_fat</t>
        </is>
      </c>
      <c r="B18" s="28">
        <f>SUMIFS(Data!$R$2:$R$31,Data!$G$2:$G$31,"animal_based_fat")/1000</f>
        <v/>
      </c>
      <c r="C18" s="28">
        <f>D18+E18</f>
        <v/>
      </c>
      <c r="D18" s="28">
        <f>SUMIFS(Data!$S$2:$S$31,Data!$G$2:$G$31,"animal_based_fat")/1000</f>
        <v/>
      </c>
      <c r="E18" s="28">
        <f>SUMIFS(Data!$T$2:$T$31,Data!$G$2:$G$31,"animal_based_fat")/1000</f>
        <v/>
      </c>
      <c r="F18" s="32">
        <f>IF(SUMIFS(Data!$R$2:$R$31,Data!$G$2:$G$31,"animal_based_fat",Data!$H$2:$H$31,"plant_based")+SUMIFS(Data!$R$2:$R$31,Data!$G$2:$G$31,"animal_based_fat",Data!$H$2:$H$31,"animal_based")=0,"",SUMIFS(Data!$R$2:$R$31,Data!$G$2:$G$31,"animal_based_fat",Data!$H$2:$H$31,"plant_based")/(SUMIFS(Data!$R$2:$R$31,Data!$G$2:$G$31,"animal_based_fat",Data!$H$2:$H$31,"plant_based")+SUMIFS(Data!$R$2:$R$31,Data!$G$2:$G$31,"animal_based_fat",Data!$H$2:$H$31,"animal_based")))</f>
        <v/>
      </c>
      <c r="G18" s="32">
        <f>IF(SUMIFS(Data!$R$2:$R$31,Data!$G$2:$G$31,"animal_based_fat",Data!$H$2:$H$31,"plant_based")+SUMIFS(Data!$R$2:$R$31,Data!$G$2:$G$31,"animal_based_fat",Data!$H$2:$H$31,"animal_based")=0,"",SUMIFS(Data!$R$2:$R$31,Data!$G$2:$G$31,"animal_based_fat",Data!$H$2:$H$31,"animal_based")/(SUMIFS(Data!$R$2:$R$31,Data!$G$2:$G$31,"animal_based_fat",Data!$H$2:$H$31,"plant_based")+SUMIFS(Data!$R$2:$R$31,Data!$G$2:$G$31,"animal_based_fat",Data!$H$2:$H$31,"animal_based")))</f>
        <v/>
      </c>
    </row>
    <row r="19" ht="15.75" customHeight="1" s="67">
      <c r="A19" s="54" t="inlineStr">
        <is>
          <t>FG3 · plant_based_fat</t>
        </is>
      </c>
      <c r="B19" s="28">
        <f>SUMIFS(Data!$R$2:$R$31,Data!$G$2:$G$31,"plant_based_fat")/1000</f>
        <v/>
      </c>
      <c r="C19" s="28">
        <f>D19+E19</f>
        <v/>
      </c>
      <c r="D19" s="28">
        <f>SUMIFS(Data!$S$2:$S$31,Data!$G$2:$G$31,"plant_based_fat")/1000</f>
        <v/>
      </c>
      <c r="E19" s="28">
        <f>SUMIFS(Data!$T$2:$T$31,Data!$G$2:$G$31,"plant_based_fat")/1000</f>
        <v/>
      </c>
      <c r="F19" s="32">
        <f>IF(SUMIFS(Data!$R$2:$R$31,Data!$G$2:$G$31,"plant_based_fat",Data!$H$2:$H$31,"plant_based")+SUMIFS(Data!$R$2:$R$31,Data!$G$2:$G$31,"plant_based_fat",Data!$H$2:$H$31,"animal_based")=0,"",SUMIFS(Data!$R$2:$R$31,Data!$G$2:$G$31,"plant_based_fat",Data!$H$2:$H$31,"plant_based")/(SUMIFS(Data!$R$2:$R$31,Data!$G$2:$G$31,"plant_based_fat",Data!$H$2:$H$31,"plant_based")+SUMIFS(Data!$R$2:$R$31,Data!$G$2:$G$31,"plant_based_fat",Data!$H$2:$H$31,"animal_based")))</f>
        <v/>
      </c>
      <c r="G19" s="32">
        <f>IF(SUMIFS(Data!$R$2:$R$31,Data!$G$2:$G$31,"plant_based_fat",Data!$H$2:$H$31,"plant_based")+SUMIFS(Data!$R$2:$R$31,Data!$G$2:$G$31,"plant_based_fat",Data!$H$2:$H$31,"animal_based")=0,"",SUMIFS(Data!$R$2:$R$31,Data!$G$2:$G$31,"plant_based_fat",Data!$H$2:$H$31,"animal_based")/(SUMIFS(Data!$R$2:$R$31,Data!$G$2:$G$31,"plant_based_fat",Data!$H$2:$H$31,"plant_based")+SUMIFS(Data!$R$2:$R$31,Data!$G$2:$G$31,"plant_based_fat",Data!$H$2:$H$31,"animal_based")))</f>
        <v/>
      </c>
    </row>
    <row r="20" ht="15.75" customHeight="1" s="67">
      <c r="A20" s="54" t="inlineStr">
        <is>
          <t>FG5 · whole_grain</t>
        </is>
      </c>
      <c r="B20" s="28">
        <f>SUMIFS(Data!$R$2:$R$31,Data!$G$2:$G$31,"whole_grain")/1000</f>
        <v/>
      </c>
      <c r="C20" s="28">
        <f>D20+E20</f>
        <v/>
      </c>
      <c r="D20" s="28">
        <f>SUMIFS(Data!$S$2:$S$31,Data!$G$2:$G$31,"whole_grain")/1000</f>
        <v/>
      </c>
      <c r="E20" s="28">
        <f>SUMIFS(Data!$T$2:$T$31,Data!$G$2:$G$31,"whole_grain")/1000</f>
        <v/>
      </c>
      <c r="F20" s="32">
        <f>IF(SUMIFS(Data!$R$2:$R$31,Data!$G$2:$G$31,"whole_grain",Data!$H$2:$H$31,"plant_based")+SUMIFS(Data!$R$2:$R$31,Data!$G$2:$G$31,"whole_grain",Data!$H$2:$H$31,"animal_based")=0,"",SUMIFS(Data!$R$2:$R$31,Data!$G$2:$G$31,"whole_grain",Data!$H$2:$H$31,"plant_based")/(SUMIFS(Data!$R$2:$R$31,Data!$G$2:$G$31,"whole_grain",Data!$H$2:$H$31,"plant_based")+SUMIFS(Data!$R$2:$R$31,Data!$G$2:$G$31,"whole_grain",Data!$H$2:$H$31,"animal_based")))</f>
        <v/>
      </c>
      <c r="G20" s="32">
        <f>IF(SUMIFS(Data!$R$2:$R$31,Data!$G$2:$G$31,"whole_grain",Data!$H$2:$H$31,"plant_based")+SUMIFS(Data!$R$2:$R$31,Data!$G$2:$G$31,"whole_grain",Data!$H$2:$H$31,"animal_based")=0,"",SUMIFS(Data!$R$2:$R$31,Data!$G$2:$G$31,"whole_grain",Data!$H$2:$H$31,"animal_based")/(SUMIFS(Data!$R$2:$R$31,Data!$G$2:$G$31,"whole_grain",Data!$H$2:$H$31,"plant_based")+SUMIFS(Data!$R$2:$R$31,Data!$G$2:$G$31,"whole_grain",Data!$H$2:$H$31,"animal_based")))</f>
        <v/>
      </c>
    </row>
    <row r="21" ht="15.75" customHeight="1" s="67">
      <c r="A21" s="54" t="inlineStr">
        <is>
          <t>FG5 · refined_grain</t>
        </is>
      </c>
      <c r="B21" s="28">
        <f>SUMIFS(Data!$R$2:$R$31,Data!$G$2:$G$31,"refined_grain")/1000</f>
        <v/>
      </c>
      <c r="C21" s="28">
        <f>D21+E21</f>
        <v/>
      </c>
      <c r="D21" s="28">
        <f>SUMIFS(Data!$S$2:$S$31,Data!$G$2:$G$31,"refined_grain")/1000</f>
        <v/>
      </c>
      <c r="E21" s="28">
        <f>SUMIFS(Data!$T$2:$T$31,Data!$G$2:$G$31,"refined_grain")/1000</f>
        <v/>
      </c>
      <c r="F21" s="32">
        <f>IF(SUMIFS(Data!$R$2:$R$31,Data!$G$2:$G$31,"refined_grain",Data!$H$2:$H$31,"plant_based")+SUMIFS(Data!$R$2:$R$31,Data!$G$2:$G$31,"refined_grain",Data!$H$2:$H$31,"animal_based")=0,"",SUMIFS(Data!$R$2:$R$31,Data!$G$2:$G$31,"refined_grain",Data!$H$2:$H$31,"plant_based")/(SUMIFS(Data!$R$2:$R$31,Data!$G$2:$G$31,"refined_grain",Data!$H$2:$H$31,"plant_based")+SUMIFS(Data!$R$2:$R$31,Data!$G$2:$G$31,"refined_grain",Data!$H$2:$H$31,"animal_based")))</f>
        <v/>
      </c>
      <c r="G21" s="32">
        <f>IF(SUMIFS(Data!$R$2:$R$31,Data!$G$2:$G$31,"refined_grain",Data!$H$2:$H$31,"plant_based")+SUMIFS(Data!$R$2:$R$31,Data!$G$2:$G$31,"refined_grain",Data!$H$2:$H$31,"animal_based")=0,"",SUMIFS(Data!$R$2:$R$31,Data!$G$2:$G$31,"refined_grain",Data!$H$2:$H$31,"animal_based")/(SUMIFS(Data!$R$2:$R$31,Data!$G$2:$G$31,"refined_grain",Data!$H$2:$H$31,"plant_based")+SUMIFS(Data!$R$2:$R$31,Data!$G$2:$G$31,"refined_grain",Data!$H$2:$H$31,"animal_based")))</f>
        <v/>
      </c>
    </row>
    <row r="22" ht="15.75" customHeight="1" s="67"/>
    <row r="23" ht="15.75" customHeight="1" s="67">
      <c r="A23" s="42" t="inlineStr">
        <is>
          <t>Food groups FG4, FG6 and FG7 have no subgroup and therefore do not appear above; they are detailed on the WWF tab.</t>
        </is>
      </c>
    </row>
    <row r="24" ht="15.75" customHeight="1" s="67"/>
    <row r="25" ht="21.75" customHeight="1" s="67">
      <c r="A25" s="58" t="inlineStr">
        <is>
          <t>Retailer categories</t>
        </is>
      </c>
    </row>
    <row r="26" ht="15.75" customHeight="1" s="67"/>
    <row r="27" ht="30" customHeight="1" s="67">
      <c r="A27" s="19" t="inlineStr">
        <is>
          <t>Category</t>
        </is>
      </c>
      <c r="B27" s="20" t="inlineStr">
        <is>
          <t>Mass (t)</t>
        </is>
      </c>
      <c r="C27" s="20" t="inlineStr">
        <is>
          <t>Protein (t)</t>
        </is>
      </c>
      <c r="D27" s="20" t="inlineStr">
        <is>
          <t>Plant protein (t)</t>
        </is>
      </c>
      <c r="E27" s="20" t="inlineStr">
        <is>
          <t>Animal protein (t)</t>
        </is>
      </c>
      <c r="F27" s="20" t="inlineStr">
        <is>
          <t>Plant share</t>
        </is>
      </c>
      <c r="G27" s="20" t="inlineStr">
        <is>
          <t>Animal share</t>
        </is>
      </c>
    </row>
    <row r="28" ht="15.75" customHeight="1" s="67">
      <c r="A28" s="54" t="inlineStr">
        <is>
          <t>Milk</t>
        </is>
      </c>
      <c r="B28" s="28">
        <f>SUMIFS(Data!$R$2:$R$31,Data!$E$2:$E$31,A28)/1000</f>
        <v/>
      </c>
      <c r="C28" s="28">
        <f>D28+E28</f>
        <v/>
      </c>
      <c r="D28" s="28">
        <f>SUMIFS(Data!$S$2:$S$31,Data!$E$2:$E$31,A28)/1000</f>
        <v/>
      </c>
      <c r="E28" s="28">
        <f>SUMIFS(Data!$T$2:$T$31,Data!$E$2:$E$31,A28)/1000</f>
        <v/>
      </c>
      <c r="F28" s="32">
        <f>IF(C28=0,"",D28/C28)</f>
        <v/>
      </c>
      <c r="G28" s="32">
        <f>IF(C28=0,"",E28/C28)</f>
        <v/>
      </c>
    </row>
    <row r="29" ht="15.75" customHeight="1" s="67">
      <c r="A29" s="54" t="inlineStr">
        <is>
          <t>Pasta</t>
        </is>
      </c>
      <c r="B29" s="28">
        <f>SUMIFS(Data!$R$2:$R$31,Data!$E$2:$E$31,A29)/1000</f>
        <v/>
      </c>
      <c r="C29" s="28">
        <f>D29+E29</f>
        <v/>
      </c>
      <c r="D29" s="28">
        <f>SUMIFS(Data!$S$2:$S$31,Data!$E$2:$E$31,A29)/1000</f>
        <v/>
      </c>
      <c r="E29" s="28">
        <f>SUMIFS(Data!$T$2:$T$31,Data!$E$2:$E$31,A29)/1000</f>
        <v/>
      </c>
      <c r="F29" s="32">
        <f>IF(C29=0,"",D29/C29)</f>
        <v/>
      </c>
      <c r="G29" s="32">
        <f>IF(C29=0,"",E29/C29)</f>
        <v/>
      </c>
    </row>
    <row r="30" ht="15.75" customHeight="1" s="67">
      <c r="A30" s="54" t="inlineStr">
        <is>
          <t>Eggs</t>
        </is>
      </c>
      <c r="B30" s="28">
        <f>SUMIFS(Data!$R$2:$R$31,Data!$E$2:$E$31,A30)/1000</f>
        <v/>
      </c>
      <c r="C30" s="28">
        <f>D30+E30</f>
        <v/>
      </c>
      <c r="D30" s="28">
        <f>SUMIFS(Data!$S$2:$S$31,Data!$E$2:$E$31,A30)/1000</f>
        <v/>
      </c>
      <c r="E30" s="28">
        <f>SUMIFS(Data!$T$2:$T$31,Data!$E$2:$E$31,A30)/1000</f>
        <v/>
      </c>
      <c r="F30" s="32">
        <f>IF(C30=0,"",D30/C30)</f>
        <v/>
      </c>
      <c r="G30" s="32">
        <f>IF(C30=0,"",E30/C30)</f>
        <v/>
      </c>
    </row>
    <row r="31" ht="15.75" customHeight="1" s="67">
      <c r="A31" s="54" t="inlineStr">
        <is>
          <t>Chicken</t>
        </is>
      </c>
      <c r="B31" s="28">
        <f>SUMIFS(Data!$R$2:$R$31,Data!$E$2:$E$31,A31)/1000</f>
        <v/>
      </c>
      <c r="C31" s="28">
        <f>D31+E31</f>
        <v/>
      </c>
      <c r="D31" s="28">
        <f>SUMIFS(Data!$S$2:$S$31,Data!$E$2:$E$31,A31)/1000</f>
        <v/>
      </c>
      <c r="E31" s="28">
        <f>SUMIFS(Data!$T$2:$T$31,Data!$E$2:$E$31,A31)/1000</f>
        <v/>
      </c>
      <c r="F31" s="32">
        <f>IF(C31=0,"",D31/C31)</f>
        <v/>
      </c>
      <c r="G31" s="32">
        <f>IF(C31=0,"",E31/C31)</f>
        <v/>
      </c>
    </row>
    <row r="32" ht="15.75" customHeight="1" s="67">
      <c r="A32" s="54" t="inlineStr">
        <is>
          <t>Minced beef</t>
        </is>
      </c>
      <c r="B32" s="28">
        <f>SUMIFS(Data!$R$2:$R$31,Data!$E$2:$E$31,A32)/1000</f>
        <v/>
      </c>
      <c r="C32" s="28">
        <f>D32+E32</f>
        <v/>
      </c>
      <c r="D32" s="28">
        <f>SUMIFS(Data!$S$2:$S$31,Data!$E$2:$E$31,A32)/1000</f>
        <v/>
      </c>
      <c r="E32" s="28">
        <f>SUMIFS(Data!$T$2:$T$31,Data!$E$2:$E$31,A32)/1000</f>
        <v/>
      </c>
      <c r="F32" s="32">
        <f>IF(C32=0,"",D32/C32)</f>
        <v/>
      </c>
      <c r="G32" s="32">
        <f>IF(C32=0,"",E32/C32)</f>
        <v/>
      </c>
    </row>
    <row r="33" ht="15.75" customHeight="1" s="67">
      <c r="A33" s="54" t="inlineStr">
        <is>
          <t>Cooked ham</t>
        </is>
      </c>
      <c r="B33" s="28">
        <f>SUMIFS(Data!$R$2:$R$31,Data!$E$2:$E$31,A33)/1000</f>
        <v/>
      </c>
      <c r="C33" s="28">
        <f>D33+E33</f>
        <v/>
      </c>
      <c r="D33" s="28">
        <f>SUMIFS(Data!$S$2:$S$31,Data!$E$2:$E$31,A33)/1000</f>
        <v/>
      </c>
      <c r="E33" s="28">
        <f>SUMIFS(Data!$T$2:$T$31,Data!$E$2:$E$31,A33)/1000</f>
        <v/>
      </c>
      <c r="F33" s="32">
        <f>IF(C33=0,"",D33/C33)</f>
        <v/>
      </c>
      <c r="G33" s="32">
        <f>IF(C33=0,"",E33/C33)</f>
        <v/>
      </c>
    </row>
    <row r="34" ht="15.75" customHeight="1" s="67">
      <c r="A34" s="54" t="inlineStr">
        <is>
          <t>Soft cheese</t>
        </is>
      </c>
      <c r="B34" s="28">
        <f>SUMIFS(Data!$R$2:$R$31,Data!$E$2:$E$31,A34)/1000</f>
        <v/>
      </c>
      <c r="C34" s="28">
        <f>D34+E34</f>
        <v/>
      </c>
      <c r="D34" s="28">
        <f>SUMIFS(Data!$S$2:$S$31,Data!$E$2:$E$31,A34)/1000</f>
        <v/>
      </c>
      <c r="E34" s="28">
        <f>SUMIFS(Data!$T$2:$T$31,Data!$E$2:$E$31,A34)/1000</f>
        <v/>
      </c>
      <c r="F34" s="32">
        <f>IF(C34=0,"",D34/C34)</f>
        <v/>
      </c>
      <c r="G34" s="32">
        <f>IF(C34=0,"",E34/C34)</f>
        <v/>
      </c>
    </row>
    <row r="35" ht="15.75" customHeight="1" s="67">
      <c r="A35" s="54" t="inlineStr">
        <is>
          <t>Sandwich bread</t>
        </is>
      </c>
      <c r="B35" s="28">
        <f>SUMIFS(Data!$R$2:$R$31,Data!$E$2:$E$31,A35)/1000</f>
        <v/>
      </c>
      <c r="C35" s="28">
        <f>D35+E35</f>
        <v/>
      </c>
      <c r="D35" s="28">
        <f>SUMIFS(Data!$S$2:$S$31,Data!$E$2:$E$31,A35)/1000</f>
        <v/>
      </c>
      <c r="E35" s="28">
        <f>SUMIFS(Data!$T$2:$T$31,Data!$E$2:$E$31,A35)/1000</f>
        <v/>
      </c>
      <c r="F35" s="32">
        <f>IF(C35=0,"",D35/C35)</f>
        <v/>
      </c>
      <c r="G35" s="32">
        <f>IF(C35=0,"",E35/C35)</f>
        <v/>
      </c>
    </row>
    <row r="36" ht="15.75" customHeight="1" s="67">
      <c r="A36" s="54" t="inlineStr">
        <is>
          <t>Pizzas</t>
        </is>
      </c>
      <c r="B36" s="28">
        <f>SUMIFS(Data!$R$2:$R$31,Data!$E$2:$E$31,A36)/1000</f>
        <v/>
      </c>
      <c r="C36" s="28">
        <f>D36+E36</f>
        <v/>
      </c>
      <c r="D36" s="28">
        <f>SUMIFS(Data!$S$2:$S$31,Data!$E$2:$E$31,A36)/1000</f>
        <v/>
      </c>
      <c r="E36" s="28">
        <f>SUMIFS(Data!$T$2:$T$31,Data!$E$2:$E$31,A36)/1000</f>
        <v/>
      </c>
      <c r="F36" s="32">
        <f>IF(C36=0,"",D36/C36)</f>
        <v/>
      </c>
      <c r="G36" s="32">
        <f>IF(C36=0,"",E36/C36)</f>
        <v/>
      </c>
    </row>
    <row r="37" ht="15.75" customHeight="1" s="67">
      <c r="A37" s="54" t="inlineStr">
        <is>
          <t>Canned fish</t>
        </is>
      </c>
      <c r="B37" s="28">
        <f>SUMIFS(Data!$R$2:$R$31,Data!$E$2:$E$31,A37)/1000</f>
        <v/>
      </c>
      <c r="C37" s="28">
        <f>D37+E37</f>
        <v/>
      </c>
      <c r="D37" s="28">
        <f>SUMIFS(Data!$S$2:$S$31,Data!$E$2:$E$31,A37)/1000</f>
        <v/>
      </c>
      <c r="E37" s="28">
        <f>SUMIFS(Data!$T$2:$T$31,Data!$E$2:$E$31,A37)/1000</f>
        <v/>
      </c>
      <c r="F37" s="32">
        <f>IF(C37=0,"",D37/C37)</f>
        <v/>
      </c>
      <c r="G37" s="32">
        <f>IF(C37=0,"",E37/C37)</f>
        <v/>
      </c>
    </row>
    <row r="38" ht="15.75" customHeight="1" s="67">
      <c r="A38" s="54" t="inlineStr">
        <is>
          <t>Spreads</t>
        </is>
      </c>
      <c r="B38" s="28">
        <f>SUMIFS(Data!$R$2:$R$31,Data!$E$2:$E$31,A38)/1000</f>
        <v/>
      </c>
      <c r="C38" s="28">
        <f>D38+E38</f>
        <v/>
      </c>
      <c r="D38" s="28">
        <f>SUMIFS(Data!$S$2:$S$31,Data!$E$2:$E$31,A38)/1000</f>
        <v/>
      </c>
      <c r="E38" s="28">
        <f>SUMIFS(Data!$T$2:$T$31,Data!$E$2:$E$31,A38)/1000</f>
        <v/>
      </c>
      <c r="F38" s="32">
        <f>IF(C38=0,"",D38/C38)</f>
        <v/>
      </c>
      <c r="G38" s="32">
        <f>IF(C38=0,"",E38/C38)</f>
        <v/>
      </c>
    </row>
    <row r="39" ht="15.75" customHeight="1" s="67">
      <c r="A39" s="54" t="inlineStr">
        <is>
          <t>Cereals</t>
        </is>
      </c>
      <c r="B39" s="28">
        <f>SUMIFS(Data!$R$2:$R$31,Data!$E$2:$E$31,A39)/1000</f>
        <v/>
      </c>
      <c r="C39" s="28">
        <f>D39+E39</f>
        <v/>
      </c>
      <c r="D39" s="28">
        <f>SUMIFS(Data!$S$2:$S$31,Data!$E$2:$E$31,A39)/1000</f>
        <v/>
      </c>
      <c r="E39" s="28">
        <f>SUMIFS(Data!$T$2:$T$31,Data!$E$2:$E$31,A39)/1000</f>
        <v/>
      </c>
      <c r="F39" s="32">
        <f>IF(C39=0,"",D39/C39)</f>
        <v/>
      </c>
      <c r="G39" s="32">
        <f>IF(C39=0,"",E39/C39)</f>
        <v/>
      </c>
    </row>
    <row r="40" ht="15.75" customHeight="1" s="67">
      <c r="A40" s="54" t="inlineStr">
        <is>
          <t>Yoghurts</t>
        </is>
      </c>
      <c r="B40" s="28">
        <f>SUMIFS(Data!$R$2:$R$31,Data!$E$2:$E$31,A40)/1000</f>
        <v/>
      </c>
      <c r="C40" s="28">
        <f>D40+E40</f>
        <v/>
      </c>
      <c r="D40" s="28">
        <f>SUMIFS(Data!$S$2:$S$31,Data!$E$2:$E$31,A40)/1000</f>
        <v/>
      </c>
      <c r="E40" s="28">
        <f>SUMIFS(Data!$T$2:$T$31,Data!$E$2:$E$31,A40)/1000</f>
        <v/>
      </c>
      <c r="F40" s="32">
        <f>IF(C40=0,"",D40/C40)</f>
        <v/>
      </c>
      <c r="G40" s="32">
        <f>IF(C40=0,"",E40/C40)</f>
        <v/>
      </c>
    </row>
    <row r="41" ht="15.75" customHeight="1" s="67">
      <c r="A41" s="54" t="inlineStr">
        <is>
          <t>Plant drinks</t>
        </is>
      </c>
      <c r="B41" s="28">
        <f>SUMIFS(Data!$R$2:$R$31,Data!$E$2:$E$31,A41)/1000</f>
        <v/>
      </c>
      <c r="C41" s="28">
        <f>D41+E41</f>
        <v/>
      </c>
      <c r="D41" s="28">
        <f>SUMIFS(Data!$S$2:$S$31,Data!$E$2:$E$31,A41)/1000</f>
        <v/>
      </c>
      <c r="E41" s="28">
        <f>SUMIFS(Data!$T$2:$T$31,Data!$E$2:$E$31,A41)/1000</f>
        <v/>
      </c>
      <c r="F41" s="32">
        <f>IF(C41=0,"",D41/C41)</f>
        <v/>
      </c>
      <c r="G41" s="32">
        <f>IF(C41=0,"",E41/C41)</f>
        <v/>
      </c>
    </row>
    <row r="42" ht="15.75" customHeight="1" s="67">
      <c r="A42" s="54" t="inlineStr">
        <is>
          <t>Crisps</t>
        </is>
      </c>
      <c r="B42" s="28">
        <f>SUMIFS(Data!$R$2:$R$31,Data!$E$2:$E$31,A42)/1000</f>
        <v/>
      </c>
      <c r="C42" s="28">
        <f>D42+E42</f>
        <v/>
      </c>
      <c r="D42" s="28">
        <f>SUMIFS(Data!$S$2:$S$31,Data!$E$2:$E$31,A42)/1000</f>
        <v/>
      </c>
      <c r="E42" s="28">
        <f>SUMIFS(Data!$T$2:$T$31,Data!$E$2:$E$31,A42)/1000</f>
        <v/>
      </c>
      <c r="F42" s="32">
        <f>IF(C42=0,"",D42/C42)</f>
        <v/>
      </c>
      <c r="G42" s="32">
        <f>IF(C42=0,"",E42/C42)</f>
        <v/>
      </c>
    </row>
    <row r="43" ht="15.75" customHeight="1" s="67">
      <c r="A43" s="54" t="inlineStr">
        <is>
          <t>Potato flakes</t>
        </is>
      </c>
      <c r="B43" s="28">
        <f>SUMIFS(Data!$R$2:$R$31,Data!$E$2:$E$31,A43)/1000</f>
        <v/>
      </c>
      <c r="C43" s="28">
        <f>D43+E43</f>
        <v/>
      </c>
      <c r="D43" s="28">
        <f>SUMIFS(Data!$S$2:$S$31,Data!$E$2:$E$31,A43)/1000</f>
        <v/>
      </c>
      <c r="E43" s="28">
        <f>SUMIFS(Data!$T$2:$T$31,Data!$E$2:$E$31,A43)/1000</f>
        <v/>
      </c>
      <c r="F43" s="32">
        <f>IF(C43=0,"",D43/C43)</f>
        <v/>
      </c>
      <c r="G43" s="32">
        <f>IF(C43=0,"",E43/C43)</f>
        <v/>
      </c>
    </row>
    <row r="44" ht="15.75" customHeight="1" s="67">
      <c r="A44" s="54" t="inlineStr">
        <is>
          <t>Pasta dishes</t>
        </is>
      </c>
      <c r="B44" s="28">
        <f>SUMIFS(Data!$R$2:$R$31,Data!$E$2:$E$31,A44)/1000</f>
        <v/>
      </c>
      <c r="C44" s="28">
        <f>D44+E44</f>
        <v/>
      </c>
      <c r="D44" s="28">
        <f>SUMIFS(Data!$S$2:$S$31,Data!$E$2:$E$31,A44)/1000</f>
        <v/>
      </c>
      <c r="E44" s="28">
        <f>SUMIFS(Data!$T$2:$T$31,Data!$E$2:$E$31,A44)/1000</f>
        <v/>
      </c>
      <c r="F44" s="32">
        <f>IF(C44=0,"",D44/C44)</f>
        <v/>
      </c>
      <c r="G44" s="32">
        <f>IF(C44=0,"",E44/C44)</f>
        <v/>
      </c>
    </row>
    <row r="45" ht="15.75" customHeight="1" s="67">
      <c r="A45" s="54" t="inlineStr">
        <is>
          <t>Canned pulses</t>
        </is>
      </c>
      <c r="B45" s="28">
        <f>SUMIFS(Data!$R$2:$R$31,Data!$E$2:$E$31,A45)/1000</f>
        <v/>
      </c>
      <c r="C45" s="28">
        <f>D45+E45</f>
        <v/>
      </c>
      <c r="D45" s="28">
        <f>SUMIFS(Data!$S$2:$S$31,Data!$E$2:$E$31,A45)/1000</f>
        <v/>
      </c>
      <c r="E45" s="28">
        <f>SUMIFS(Data!$T$2:$T$31,Data!$E$2:$E$31,A45)/1000</f>
        <v/>
      </c>
      <c r="F45" s="32">
        <f>IF(C45=0,"",D45/C45)</f>
        <v/>
      </c>
      <c r="G45" s="32">
        <f>IF(C45=0,"",E45/C45)</f>
        <v/>
      </c>
    </row>
    <row r="46" ht="15.75" customHeight="1" s="67">
      <c r="A46" s="54" t="inlineStr">
        <is>
          <t>Canned vegetables</t>
        </is>
      </c>
      <c r="B46" s="28">
        <f>SUMIFS(Data!$R$2:$R$31,Data!$E$2:$E$31,A46)/1000</f>
        <v/>
      </c>
      <c r="C46" s="28">
        <f>D46+E46</f>
        <v/>
      </c>
      <c r="D46" s="28">
        <f>SUMIFS(Data!$S$2:$S$31,Data!$E$2:$E$31,A46)/1000</f>
        <v/>
      </c>
      <c r="E46" s="28">
        <f>SUMIFS(Data!$T$2:$T$31,Data!$E$2:$E$31,A46)/1000</f>
        <v/>
      </c>
      <c r="F46" s="32">
        <f>IF(C46=0,"",D46/C46)</f>
        <v/>
      </c>
      <c r="G46" s="32">
        <f>IF(C46=0,"",E46/C46)</f>
        <v/>
      </c>
    </row>
    <row r="47" ht="15.75" customHeight="1" s="67">
      <c r="A47" s="54" t="inlineStr">
        <is>
          <t>Meat alternatives</t>
        </is>
      </c>
      <c r="B47" s="28">
        <f>SUMIFS(Data!$R$2:$R$31,Data!$E$2:$E$31,A47)/1000</f>
        <v/>
      </c>
      <c r="C47" s="28">
        <f>D47+E47</f>
        <v/>
      </c>
      <c r="D47" s="28">
        <f>SUMIFS(Data!$S$2:$S$31,Data!$E$2:$E$31,A47)/1000</f>
        <v/>
      </c>
      <c r="E47" s="28">
        <f>SUMIFS(Data!$T$2:$T$31,Data!$E$2:$E$31,A47)/1000</f>
        <v/>
      </c>
      <c r="F47" s="32">
        <f>IF(C47=0,"",D47/C47)</f>
        <v/>
      </c>
      <c r="G47" s="32">
        <f>IF(C47=0,"",E47/C47)</f>
        <v/>
      </c>
    </row>
    <row r="48" ht="15.75" customHeight="1" s="67">
      <c r="A48" s="54" t="inlineStr">
        <is>
          <t>Tomato sauces</t>
        </is>
      </c>
      <c r="B48" s="28">
        <f>SUMIFS(Data!$R$2:$R$31,Data!$E$2:$E$31,A48)/1000</f>
        <v/>
      </c>
      <c r="C48" s="28">
        <f>D48+E48</f>
        <v/>
      </c>
      <c r="D48" s="28">
        <f>SUMIFS(Data!$S$2:$S$31,Data!$E$2:$E$31,A48)/1000</f>
        <v/>
      </c>
      <c r="E48" s="28">
        <f>SUMIFS(Data!$T$2:$T$31,Data!$E$2:$E$31,A48)/1000</f>
        <v/>
      </c>
      <c r="F48" s="32">
        <f>IF(C48=0,"",D48/C48)</f>
        <v/>
      </c>
      <c r="G48" s="32">
        <f>IF(C48=0,"",E48/C48)</f>
        <v/>
      </c>
    </row>
    <row r="49" ht="15.75" customHeight="1" s="67">
      <c r="A49" s="54" t="inlineStr">
        <is>
          <t>Nuts and dried fruit</t>
        </is>
      </c>
      <c r="B49" s="28">
        <f>SUMIFS(Data!$R$2:$R$31,Data!$E$2:$E$31,A49)/1000</f>
        <v/>
      </c>
      <c r="C49" s="28">
        <f>D49+E49</f>
        <v/>
      </c>
      <c r="D49" s="28">
        <f>SUMIFS(Data!$S$2:$S$31,Data!$E$2:$E$31,A49)/1000</f>
        <v/>
      </c>
      <c r="E49" s="28">
        <f>SUMIFS(Data!$T$2:$T$31,Data!$E$2:$E$31,A49)/1000</f>
        <v/>
      </c>
      <c r="F49" s="32">
        <f>IF(C49=0,"",D49/C49)</f>
        <v/>
      </c>
      <c r="G49" s="32">
        <f>IF(C49=0,"",E49/C49)</f>
        <v/>
      </c>
    </row>
    <row r="50" ht="15.75" customHeight="1" s="67">
      <c r="A50" s="54" t="inlineStr">
        <is>
          <t>Tofu</t>
        </is>
      </c>
      <c r="B50" s="28">
        <f>SUMIFS(Data!$R$2:$R$31,Data!$E$2:$E$31,A50)/1000</f>
        <v/>
      </c>
      <c r="C50" s="28">
        <f>D50+E50</f>
        <v/>
      </c>
      <c r="D50" s="28">
        <f>SUMIFS(Data!$S$2:$S$31,Data!$E$2:$E$31,A50)/1000</f>
        <v/>
      </c>
      <c r="E50" s="28">
        <f>SUMIFS(Data!$T$2:$T$31,Data!$E$2:$E$31,A50)/1000</f>
        <v/>
      </c>
      <c r="F50" s="32">
        <f>IF(C50=0,"",D50/C50)</f>
        <v/>
      </c>
      <c r="G50" s="32">
        <f>IF(C50=0,"",E50/C50)</f>
        <v/>
      </c>
    </row>
    <row r="51" ht="15.75" customHeight="1" s="67">
      <c r="A51" s="54" t="inlineStr">
        <is>
          <t>Butter</t>
        </is>
      </c>
      <c r="B51" s="28">
        <f>SUMIFS(Data!$R$2:$R$31,Data!$E$2:$E$31,A51)/1000</f>
        <v/>
      </c>
      <c r="C51" s="28">
        <f>D51+E51</f>
        <v/>
      </c>
      <c r="D51" s="28">
        <f>SUMIFS(Data!$S$2:$S$31,Data!$E$2:$E$31,A51)/1000</f>
        <v/>
      </c>
      <c r="E51" s="28">
        <f>SUMIFS(Data!$T$2:$T$31,Data!$E$2:$E$31,A51)/1000</f>
        <v/>
      </c>
      <c r="F51" s="32">
        <f>IF(C51=0,"",D51/C51)</f>
        <v/>
      </c>
      <c r="G51" s="32">
        <f>IF(C51=0,"",E51/C51)</f>
        <v/>
      </c>
    </row>
    <row r="52" ht="15.75" customHeight="1" s="67">
      <c r="A52" s="54" t="inlineStr">
        <is>
          <t>Beer</t>
        </is>
      </c>
      <c r="B52" s="28">
        <f>SUMIFS(Data!$R$2:$R$31,Data!$E$2:$E$31,A52)/1000</f>
        <v/>
      </c>
      <c r="C52" s="28">
        <f>D52+E52</f>
        <v/>
      </c>
      <c r="D52" s="28">
        <f>SUMIFS(Data!$S$2:$S$31,Data!$E$2:$E$31,A52)/1000</f>
        <v/>
      </c>
      <c r="E52" s="28">
        <f>SUMIFS(Data!$T$2:$T$31,Data!$E$2:$E$31,A52)/1000</f>
        <v/>
      </c>
      <c r="F52" s="32">
        <f>IF(C52=0,"",D52/C52)</f>
        <v/>
      </c>
      <c r="G52" s="32">
        <f>IF(C52=0,"",E52/C52)</f>
        <v/>
      </c>
    </row>
    <row r="53" ht="15.75" customHeight="1" s="67">
      <c r="A53" s="54" t="inlineStr">
        <is>
          <t>Oils</t>
        </is>
      </c>
      <c r="B53" s="28">
        <f>SUMIFS(Data!$R$2:$R$31,Data!$E$2:$E$31,A53)/1000</f>
        <v/>
      </c>
      <c r="C53" s="28">
        <f>D53+E53</f>
        <v/>
      </c>
      <c r="D53" s="28">
        <f>SUMIFS(Data!$S$2:$S$31,Data!$E$2:$E$31,A53)/1000</f>
        <v/>
      </c>
      <c r="E53" s="28">
        <f>SUMIFS(Data!$T$2:$T$31,Data!$E$2:$E$31,A53)/1000</f>
        <v/>
      </c>
      <c r="F53" s="32">
        <f>IF(C53=0,"",D53/C53)</f>
        <v/>
      </c>
      <c r="G53" s="32">
        <f>IF(C53=0,"",E53/C53)</f>
        <v/>
      </c>
    </row>
    <row r="54" ht="15.75" customHeight="1" s="67">
      <c r="A54" s="54" t="inlineStr">
        <is>
          <t>Paper</t>
        </is>
      </c>
      <c r="B54" s="28">
        <f>SUMIFS(Data!$R$2:$R$31,Data!$E$2:$E$31,A54)/1000</f>
        <v/>
      </c>
      <c r="C54" s="28">
        <f>D54+E54</f>
        <v/>
      </c>
      <c r="D54" s="28">
        <f>SUMIFS(Data!$S$2:$S$31,Data!$E$2:$E$31,A54)/1000</f>
        <v/>
      </c>
      <c r="E54" s="28">
        <f>SUMIFS(Data!$T$2:$T$31,Data!$E$2:$E$31,A54)/1000</f>
        <v/>
      </c>
      <c r="F54" s="32">
        <f>IF(C54=0,"",D54/C54)</f>
        <v/>
      </c>
      <c r="G54" s="32">
        <f>IF(C54=0,"",E54/C54)</f>
        <v/>
      </c>
    </row>
    <row r="55" ht="15.75" customHeight="1" s="67">
      <c r="A55" s="54" t="inlineStr">
        <is>
          <t>Soft drinks</t>
        </is>
      </c>
      <c r="B55" s="28">
        <f>SUMIFS(Data!$R$2:$R$31,Data!$E$2:$E$31,A55)/1000</f>
        <v/>
      </c>
      <c r="C55" s="28">
        <f>D55+E55</f>
        <v/>
      </c>
      <c r="D55" s="28">
        <f>SUMIFS(Data!$S$2:$S$31,Data!$E$2:$E$31,A55)/1000</f>
        <v/>
      </c>
      <c r="E55" s="28">
        <f>SUMIFS(Data!$T$2:$T$31,Data!$E$2:$E$31,A55)/1000</f>
        <v/>
      </c>
      <c r="F55" s="32">
        <f>IF(C55=0,"",D55/C55)</f>
        <v/>
      </c>
      <c r="G55" s="32">
        <f>IF(C55=0,"",E55/C55)</f>
        <v/>
      </c>
    </row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</sheetData>
  <autoFilter ref="A27:G55"/>
  <mergeCells count="4">
    <mergeCell ref="A3:G3"/>
    <mergeCell ref="A23:G23"/>
    <mergeCell ref="A1:G1"/>
    <mergeCell ref="A25:G25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DEPARTMENT</t>
        </is>
      </c>
    </row>
    <row r="2"/>
    <row r="3" ht="30" customHeight="1" s="67">
      <c r="A3" s="19" t="inlineStr">
        <is>
          <t>Department</t>
        </is>
      </c>
      <c r="B3" s="20" t="inlineStr">
        <is>
          <t>Mass (t)</t>
        </is>
      </c>
      <c r="C3" s="20" t="inlineStr">
        <is>
          <t>Protein (t)</t>
        </is>
      </c>
      <c r="D3" s="20" t="inlineStr">
        <is>
          <t>Plant protein (t)</t>
        </is>
      </c>
      <c r="E3" s="20" t="inlineStr">
        <is>
          <t>Animal protein (t)</t>
        </is>
      </c>
      <c r="F3" s="20" t="inlineStr">
        <is>
          <t>Plant share</t>
        </is>
      </c>
      <c r="G3" s="20" t="inlineStr">
        <is>
          <t>Animal share</t>
        </is>
      </c>
    </row>
    <row r="4">
      <c r="A4" s="54" t="inlineStr">
        <is>
          <t>Dairy</t>
        </is>
      </c>
      <c r="B4" s="28">
        <f>SUMIFS(Data!$R$2:$R$31,Data!$D$2:$D$31,A4)/1000</f>
        <v/>
      </c>
      <c r="C4" s="28">
        <f>D4+E4</f>
        <v/>
      </c>
      <c r="D4" s="28">
        <f>SUMIFS(Data!$S$2:$S$31,Data!$D$2:$D$31,A4)/1000</f>
        <v/>
      </c>
      <c r="E4" s="28">
        <f>SUMIFS(Data!$T$2:$T$31,Data!$D$2:$D$31,A4)/1000</f>
        <v/>
      </c>
      <c r="F4" s="32">
        <f>IF(C4=0,"",D4/C4)</f>
        <v/>
      </c>
      <c r="G4" s="32">
        <f>IF(C4=0,"",E4/C4)</f>
        <v/>
      </c>
    </row>
    <row r="5" s="67">
      <c r="A5" s="54" t="inlineStr">
        <is>
          <t>Grocery</t>
        </is>
      </c>
      <c r="B5" s="28">
        <f>SUMIFS(Data!$R$2:$R$31,Data!$D$2:$D$31,A5)/1000</f>
        <v/>
      </c>
      <c r="C5" s="28">
        <f>D5+E5</f>
        <v/>
      </c>
      <c r="D5" s="28">
        <f>SUMIFS(Data!$S$2:$S$31,Data!$D$2:$D$31,A5)/1000</f>
        <v/>
      </c>
      <c r="E5" s="28">
        <f>SUMIFS(Data!$T$2:$T$31,Data!$D$2:$D$31,A5)/1000</f>
        <v/>
      </c>
      <c r="F5" s="32">
        <f>IF(C5=0,"",D5/C5)</f>
        <v/>
      </c>
      <c r="G5" s="32">
        <f>IF(C5=0,"",E5/C5)</f>
        <v/>
      </c>
    </row>
    <row r="6">
      <c r="A6" s="54" t="inlineStr">
        <is>
          <t>Poultry</t>
        </is>
      </c>
      <c r="B6" s="28">
        <f>SUMIFS(Data!$R$2:$R$31,Data!$D$2:$D$31,A6)/1000</f>
        <v/>
      </c>
      <c r="C6" s="28">
        <f>D6+E6</f>
        <v/>
      </c>
      <c r="D6" s="28">
        <f>SUMIFS(Data!$S$2:$S$31,Data!$D$2:$D$31,A6)/1000</f>
        <v/>
      </c>
      <c r="E6" s="28">
        <f>SUMIFS(Data!$T$2:$T$31,Data!$D$2:$D$31,A6)/1000</f>
        <v/>
      </c>
      <c r="F6" s="32">
        <f>IF(C6=0,"",D6/C6)</f>
        <v/>
      </c>
      <c r="G6" s="32">
        <f>IF(C6=0,"",E6/C6)</f>
        <v/>
      </c>
    </row>
    <row r="7">
      <c r="A7" s="54" t="inlineStr">
        <is>
          <t>Butchery</t>
        </is>
      </c>
      <c r="B7" s="28">
        <f>SUMIFS(Data!$R$2:$R$31,Data!$D$2:$D$31,A7)/1000</f>
        <v/>
      </c>
      <c r="C7" s="28">
        <f>D7+E7</f>
        <v/>
      </c>
      <c r="D7" s="28">
        <f>SUMIFS(Data!$S$2:$S$31,Data!$D$2:$D$31,A7)/1000</f>
        <v/>
      </c>
      <c r="E7" s="28">
        <f>SUMIFS(Data!$T$2:$T$31,Data!$D$2:$D$31,A7)/1000</f>
        <v/>
      </c>
      <c r="F7" s="32">
        <f>IF(C7=0,"",D7/C7)</f>
        <v/>
      </c>
      <c r="G7" s="32">
        <f>IF(C7=0,"",E7/C7)</f>
        <v/>
      </c>
    </row>
    <row r="8">
      <c r="A8" s="54" t="inlineStr">
        <is>
          <t>Deli</t>
        </is>
      </c>
      <c r="B8" s="28">
        <f>SUMIFS(Data!$R$2:$R$31,Data!$D$2:$D$31,A8)/1000</f>
        <v/>
      </c>
      <c r="C8" s="28">
        <f>D8+E8</f>
        <v/>
      </c>
      <c r="D8" s="28">
        <f>SUMIFS(Data!$S$2:$S$31,Data!$D$2:$D$31,A8)/1000</f>
        <v/>
      </c>
      <c r="E8" s="28">
        <f>SUMIFS(Data!$T$2:$T$31,Data!$D$2:$D$31,A8)/1000</f>
        <v/>
      </c>
      <c r="F8" s="32">
        <f>IF(C8=0,"",D8/C8)</f>
        <v/>
      </c>
      <c r="G8" s="32">
        <f>IF(C8=0,"",E8/C8)</f>
        <v/>
      </c>
    </row>
    <row r="9">
      <c r="A9" s="54" t="inlineStr">
        <is>
          <t>Breakfast</t>
        </is>
      </c>
      <c r="B9" s="28">
        <f>SUMIFS(Data!$R$2:$R$31,Data!$D$2:$D$31,A9)/1000</f>
        <v/>
      </c>
      <c r="C9" s="28">
        <f>D9+E9</f>
        <v/>
      </c>
      <c r="D9" s="28">
        <f>SUMIFS(Data!$S$2:$S$31,Data!$D$2:$D$31,A9)/1000</f>
        <v/>
      </c>
      <c r="E9" s="28">
        <f>SUMIFS(Data!$T$2:$T$31,Data!$D$2:$D$31,A9)/1000</f>
        <v/>
      </c>
      <c r="F9" s="32">
        <f>IF(C9=0,"",D9/C9)</f>
        <v/>
      </c>
      <c r="G9" s="32">
        <f>IF(C9=0,"",E9/C9)</f>
        <v/>
      </c>
    </row>
    <row r="10">
      <c r="A10" s="54" t="inlineStr">
        <is>
          <t>Cheese</t>
        </is>
      </c>
      <c r="B10" s="28">
        <f>SUMIFS(Data!$R$2:$R$31,Data!$D$2:$D$31,A10)/1000</f>
        <v/>
      </c>
      <c r="C10" s="28">
        <f>D10+E10</f>
        <v/>
      </c>
      <c r="D10" s="28">
        <f>SUMIFS(Data!$S$2:$S$31,Data!$D$2:$D$31,A10)/1000</f>
        <v/>
      </c>
      <c r="E10" s="28">
        <f>SUMIFS(Data!$T$2:$T$31,Data!$D$2:$D$31,A10)/1000</f>
        <v/>
      </c>
      <c r="F10" s="32">
        <f>IF(C10=0,"",D10/C10)</f>
        <v/>
      </c>
      <c r="G10" s="32">
        <f>IF(C10=0,"",E10/C10)</f>
        <v/>
      </c>
    </row>
    <row r="11">
      <c r="A11" s="54" t="inlineStr">
        <is>
          <t>Bakery</t>
        </is>
      </c>
      <c r="B11" s="28">
        <f>SUMIFS(Data!$R$2:$R$31,Data!$D$2:$D$31,A11)/1000</f>
        <v/>
      </c>
      <c r="C11" s="28">
        <f>D11+E11</f>
        <v/>
      </c>
      <c r="D11" s="28">
        <f>SUMIFS(Data!$S$2:$S$31,Data!$D$2:$D$31,A11)/1000</f>
        <v/>
      </c>
      <c r="E11" s="28">
        <f>SUMIFS(Data!$T$2:$T$31,Data!$D$2:$D$31,A11)/1000</f>
        <v/>
      </c>
      <c r="F11" s="32">
        <f>IF(C11=0,"",D11/C11)</f>
        <v/>
      </c>
      <c r="G11" s="32">
        <f>IF(C11=0,"",E11/C11)</f>
        <v/>
      </c>
    </row>
    <row r="12">
      <c r="A12" s="54" t="inlineStr">
        <is>
          <t>Frozen</t>
        </is>
      </c>
      <c r="B12" s="28">
        <f>SUMIFS(Data!$R$2:$R$31,Data!$D$2:$D$31,A12)/1000</f>
        <v/>
      </c>
      <c r="C12" s="28">
        <f>D12+E12</f>
        <v/>
      </c>
      <c r="D12" s="28">
        <f>SUMIFS(Data!$S$2:$S$31,Data!$D$2:$D$31,A12)/1000</f>
        <v/>
      </c>
      <c r="E12" s="28">
        <f>SUMIFS(Data!$T$2:$T$31,Data!$D$2:$D$31,A12)/1000</f>
        <v/>
      </c>
      <c r="F12" s="32">
        <f>IF(C12=0,"",D12/C12)</f>
        <v/>
      </c>
      <c r="G12" s="32">
        <f>IF(C12=0,"",E12/C12)</f>
        <v/>
      </c>
    </row>
    <row r="13">
      <c r="A13" s="54" t="inlineStr">
        <is>
          <t>Plant-based</t>
        </is>
      </c>
      <c r="B13" s="28">
        <f>SUMIFS(Data!$R$2:$R$31,Data!$D$2:$D$31,A13)/1000</f>
        <v/>
      </c>
      <c r="C13" s="28">
        <f>D13+E13</f>
        <v/>
      </c>
      <c r="D13" s="28">
        <f>SUMIFS(Data!$S$2:$S$31,Data!$D$2:$D$31,A13)/1000</f>
        <v/>
      </c>
      <c r="E13" s="28">
        <f>SUMIFS(Data!$T$2:$T$31,Data!$D$2:$D$31,A13)/1000</f>
        <v/>
      </c>
      <c r="F13" s="32">
        <f>IF(C13=0,"",D13/C13)</f>
        <v/>
      </c>
      <c r="G13" s="32">
        <f>IF(C13=0,"",E13/C13)</f>
        <v/>
      </c>
    </row>
    <row r="14">
      <c r="A14" s="54" t="inlineStr">
        <is>
          <t>Snacks</t>
        </is>
      </c>
      <c r="B14" s="28">
        <f>SUMIFS(Data!$R$2:$R$31,Data!$D$2:$D$31,A14)/1000</f>
        <v/>
      </c>
      <c r="C14" s="28">
        <f>D14+E14</f>
        <v/>
      </c>
      <c r="D14" s="28">
        <f>SUMIFS(Data!$S$2:$S$31,Data!$D$2:$D$31,A14)/1000</f>
        <v/>
      </c>
      <c r="E14" s="28">
        <f>SUMIFS(Data!$T$2:$T$31,Data!$D$2:$D$31,A14)/1000</f>
        <v/>
      </c>
      <c r="F14" s="32">
        <f>IF(C14=0,"",D14/C14)</f>
        <v/>
      </c>
      <c r="G14" s="32">
        <f>IF(C14=0,"",E14/C14)</f>
        <v/>
      </c>
    </row>
    <row r="15">
      <c r="A15" s="54" t="inlineStr">
        <is>
          <t>Ready meals</t>
        </is>
      </c>
      <c r="B15" s="28">
        <f>SUMIFS(Data!$R$2:$R$31,Data!$D$2:$D$31,A15)/1000</f>
        <v/>
      </c>
      <c r="C15" s="28">
        <f>D15+E15</f>
        <v/>
      </c>
      <c r="D15" s="28">
        <f>SUMIFS(Data!$S$2:$S$31,Data!$D$2:$D$31,A15)/1000</f>
        <v/>
      </c>
      <c r="E15" s="28">
        <f>SUMIFS(Data!$T$2:$T$31,Data!$D$2:$D$31,A15)/1000</f>
        <v/>
      </c>
      <c r="F15" s="32">
        <f>IF(C15=0,"",D15/C15)</f>
        <v/>
      </c>
      <c r="G15" s="32">
        <f>IF(C15=0,"",E15/C15)</f>
        <v/>
      </c>
    </row>
    <row r="16">
      <c r="A16" s="54" t="inlineStr">
        <is>
          <t>Beer &amp; wine</t>
        </is>
      </c>
      <c r="B16" s="28">
        <f>SUMIFS(Data!$R$2:$R$31,Data!$D$2:$D$31,A16)/1000</f>
        <v/>
      </c>
      <c r="C16" s="28">
        <f>D16+E16</f>
        <v/>
      </c>
      <c r="D16" s="28">
        <f>SUMIFS(Data!$S$2:$S$31,Data!$D$2:$D$31,A16)/1000</f>
        <v/>
      </c>
      <c r="E16" s="28">
        <f>SUMIFS(Data!$T$2:$T$31,Data!$D$2:$D$31,A16)/1000</f>
        <v/>
      </c>
      <c r="F16" s="32">
        <f>IF(C16=0,"",D16/C16)</f>
        <v/>
      </c>
      <c r="G16" s="32">
        <f>IF(C16=0,"",E16/C16)</f>
        <v/>
      </c>
    </row>
    <row r="17">
      <c r="A17" s="54" t="inlineStr">
        <is>
          <t>Drinks</t>
        </is>
      </c>
      <c r="B17" s="28">
        <f>SUMIFS(Data!$R$2:$R$31,Data!$D$2:$D$31,A17)/1000</f>
        <v/>
      </c>
      <c r="C17" s="28">
        <f>D17+E17</f>
        <v/>
      </c>
      <c r="D17" s="28">
        <f>SUMIFS(Data!$S$2:$S$31,Data!$D$2:$D$31,A17)/1000</f>
        <v/>
      </c>
      <c r="E17" s="28">
        <f>SUMIFS(Data!$T$2:$T$31,Data!$D$2:$D$31,A17)/1000</f>
        <v/>
      </c>
      <c r="F17" s="32">
        <f>IF(C17=0,"",D17/C17)</f>
        <v/>
      </c>
      <c r="G17" s="32">
        <f>IF(C17=0,"",E17/C17)</f>
        <v/>
      </c>
    </row>
    <row r="18">
      <c r="A18" s="54" t="inlineStr">
        <is>
          <t>Household</t>
        </is>
      </c>
      <c r="B18" s="28">
        <f>SUMIFS(Data!$R$2:$R$31,Data!$D$2:$D$31,A18)/1000</f>
        <v/>
      </c>
      <c r="C18" s="28">
        <f>D18+E18</f>
        <v/>
      </c>
      <c r="D18" s="28">
        <f>SUMIFS(Data!$S$2:$S$31,Data!$D$2:$D$31,A18)/1000</f>
        <v/>
      </c>
      <c r="E18" s="28">
        <f>SUMIFS(Data!$T$2:$T$31,Data!$D$2:$D$31,A18)/1000</f>
        <v/>
      </c>
      <c r="F18" s="32">
        <f>IF(C18=0,"",D18/C18)</f>
        <v/>
      </c>
      <c r="G18" s="32">
        <f>IF(C18=0,"",E18/C18)</f>
        <v/>
      </c>
    </row>
    <row r="19" ht="15.75" customHeight="1" s="67"/>
    <row r="20" ht="15.75" customHeight="1" s="67"/>
    <row r="21" ht="15.75" customHeight="1" s="67"/>
    <row r="22" ht="15.75" customHeight="1" s="67"/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</sheetData>
  <autoFilter ref="A3:G18"/>
  <mergeCells count="1">
    <mergeCell ref="A1:G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BRAND</t>
        </is>
      </c>
    </row>
    <row r="2"/>
    <row r="3" ht="30" customHeight="1" s="67">
      <c r="A3" s="19" t="inlineStr">
        <is>
          <t>Brand</t>
        </is>
      </c>
      <c r="B3" s="20" t="inlineStr">
        <is>
          <t>Mass (t)</t>
        </is>
      </c>
      <c r="C3" s="20" t="inlineStr">
        <is>
          <t>Protein (t)</t>
        </is>
      </c>
      <c r="D3" s="20" t="inlineStr">
        <is>
          <t>Plant protein (t)</t>
        </is>
      </c>
      <c r="E3" s="20" t="inlineStr">
        <is>
          <t>Animal protein (t)</t>
        </is>
      </c>
      <c r="F3" s="20" t="inlineStr">
        <is>
          <t>Plant share</t>
        </is>
      </c>
      <c r="G3" s="20" t="inlineStr">
        <is>
          <t>Animal share</t>
        </is>
      </c>
    </row>
    <row r="4">
      <c r="A4" s="54" t="inlineStr">
        <is>
          <t>Lactel</t>
        </is>
      </c>
      <c r="B4" s="28">
        <f>SUMIFS(Data!$R$2:$R$31,Data!$C$2:$C$31,A4)/1000</f>
        <v/>
      </c>
      <c r="C4" s="28">
        <f>D4+E4</f>
        <v/>
      </c>
      <c r="D4" s="28">
        <f>SUMIFS(Data!$S$2:$S$31,Data!$C$2:$C$31,A4)/1000</f>
        <v/>
      </c>
      <c r="E4" s="28">
        <f>SUMIFS(Data!$T$2:$T$31,Data!$C$2:$C$31,A4)/1000</f>
        <v/>
      </c>
      <c r="F4" s="32">
        <f>IF(C4=0,"",D4/C4)</f>
        <v/>
      </c>
      <c r="G4" s="32">
        <f>IF(C4=0,"",E4/C4)</f>
        <v/>
      </c>
    </row>
    <row r="5" s="67">
      <c r="A5" s="54" t="inlineStr">
        <is>
          <t>Barilla</t>
        </is>
      </c>
      <c r="B5" s="28">
        <f>SUMIFS(Data!$R$2:$R$31,Data!$C$2:$C$31,A5)/1000</f>
        <v/>
      </c>
      <c r="C5" s="28">
        <f>D5+E5</f>
        <v/>
      </c>
      <c r="D5" s="28">
        <f>SUMIFS(Data!$S$2:$S$31,Data!$C$2:$C$31,A5)/1000</f>
        <v/>
      </c>
      <c r="E5" s="28">
        <f>SUMIFS(Data!$T$2:$T$31,Data!$C$2:$C$31,A5)/1000</f>
        <v/>
      </c>
      <c r="F5" s="32">
        <f>IF(C5=0,"",D5/C5)</f>
        <v/>
      </c>
      <c r="G5" s="32">
        <f>IF(C5=0,"",E5/C5)</f>
        <v/>
      </c>
    </row>
    <row r="6">
      <c r="A6" s="54" t="inlineStr">
        <is>
          <t>Loué</t>
        </is>
      </c>
      <c r="B6" s="28">
        <f>SUMIFS(Data!$R$2:$R$31,Data!$C$2:$C$31,A6)/1000</f>
        <v/>
      </c>
      <c r="C6" s="28">
        <f>D6+E6</f>
        <v/>
      </c>
      <c r="D6" s="28">
        <f>SUMIFS(Data!$S$2:$S$31,Data!$C$2:$C$31,A6)/1000</f>
        <v/>
      </c>
      <c r="E6" s="28">
        <f>SUMIFS(Data!$T$2:$T$31,Data!$C$2:$C$31,A6)/1000</f>
        <v/>
      </c>
      <c r="F6" s="32">
        <f>IF(C6=0,"",D6/C6)</f>
        <v/>
      </c>
      <c r="G6" s="32">
        <f>IF(C6=0,"",E6/C6)</f>
        <v/>
      </c>
    </row>
    <row r="7">
      <c r="A7" s="54" t="inlineStr">
        <is>
          <t>Le Gaulois</t>
        </is>
      </c>
      <c r="B7" s="28">
        <f>SUMIFS(Data!$R$2:$R$31,Data!$C$2:$C$31,A7)/1000</f>
        <v/>
      </c>
      <c r="C7" s="28">
        <f>D7+E7</f>
        <v/>
      </c>
      <c r="D7" s="28">
        <f>SUMIFS(Data!$S$2:$S$31,Data!$C$2:$C$31,A7)/1000</f>
        <v/>
      </c>
      <c r="E7" s="28">
        <f>SUMIFS(Data!$T$2:$T$31,Data!$C$2:$C$31,A7)/1000</f>
        <v/>
      </c>
      <c r="F7" s="32">
        <f>IF(C7=0,"",D7/C7)</f>
        <v/>
      </c>
      <c r="G7" s="32">
        <f>IF(C7=0,"",E7/C7)</f>
        <v/>
      </c>
    </row>
    <row r="8">
      <c r="A8" s="54" t="inlineStr">
        <is>
          <t>Charal</t>
        </is>
      </c>
      <c r="B8" s="28">
        <f>SUMIFS(Data!$R$2:$R$31,Data!$C$2:$C$31,A8)/1000</f>
        <v/>
      </c>
      <c r="C8" s="28">
        <f>D8+E8</f>
        <v/>
      </c>
      <c r="D8" s="28">
        <f>SUMIFS(Data!$S$2:$S$31,Data!$C$2:$C$31,A8)/1000</f>
        <v/>
      </c>
      <c r="E8" s="28">
        <f>SUMIFS(Data!$T$2:$T$31,Data!$C$2:$C$31,A8)/1000</f>
        <v/>
      </c>
      <c r="F8" s="32">
        <f>IF(C8=0,"",D8/C8)</f>
        <v/>
      </c>
      <c r="G8" s="32">
        <f>IF(C8=0,"",E8/C8)</f>
        <v/>
      </c>
    </row>
    <row r="9">
      <c r="A9" s="54" t="inlineStr">
        <is>
          <t>Herta</t>
        </is>
      </c>
      <c r="B9" s="28">
        <f>SUMIFS(Data!$R$2:$R$31,Data!$C$2:$C$31,A9)/1000</f>
        <v/>
      </c>
      <c r="C9" s="28">
        <f>D9+E9</f>
        <v/>
      </c>
      <c r="D9" s="28">
        <f>SUMIFS(Data!$S$2:$S$31,Data!$C$2:$C$31,A9)/1000</f>
        <v/>
      </c>
      <c r="E9" s="28">
        <f>SUMIFS(Data!$T$2:$T$31,Data!$C$2:$C$31,A9)/1000</f>
        <v/>
      </c>
      <c r="F9" s="32">
        <f>IF(C9=0,"",D9/C9)</f>
        <v/>
      </c>
      <c r="G9" s="32">
        <f>IF(C9=0,"",E9/C9)</f>
        <v/>
      </c>
    </row>
    <row r="10">
      <c r="A10" s="54" t="inlineStr">
        <is>
          <t>Président</t>
        </is>
      </c>
      <c r="B10" s="28">
        <f>SUMIFS(Data!$R$2:$R$31,Data!$C$2:$C$31,A10)/1000</f>
        <v/>
      </c>
      <c r="C10" s="28">
        <f>D10+E10</f>
        <v/>
      </c>
      <c r="D10" s="28">
        <f>SUMIFS(Data!$S$2:$S$31,Data!$C$2:$C$31,A10)/1000</f>
        <v/>
      </c>
      <c r="E10" s="28">
        <f>SUMIFS(Data!$T$2:$T$31,Data!$C$2:$C$31,A10)/1000</f>
        <v/>
      </c>
      <c r="F10" s="32">
        <f>IF(C10=0,"",D10/C10)</f>
        <v/>
      </c>
      <c r="G10" s="32">
        <f>IF(C10=0,"",E10/C10)</f>
        <v/>
      </c>
    </row>
    <row r="11">
      <c r="A11" s="54" t="inlineStr">
        <is>
          <t>Harrys</t>
        </is>
      </c>
      <c r="B11" s="28">
        <f>SUMIFS(Data!$R$2:$R$31,Data!$C$2:$C$31,A11)/1000</f>
        <v/>
      </c>
      <c r="C11" s="28">
        <f>D11+E11</f>
        <v/>
      </c>
      <c r="D11" s="28">
        <f>SUMIFS(Data!$S$2:$S$31,Data!$C$2:$C$31,A11)/1000</f>
        <v/>
      </c>
      <c r="E11" s="28">
        <f>SUMIFS(Data!$T$2:$T$31,Data!$C$2:$C$31,A11)/1000</f>
        <v/>
      </c>
      <c r="F11" s="32">
        <f>IF(C11=0,"",D11/C11)</f>
        <v/>
      </c>
      <c r="G11" s="32">
        <f>IF(C11=0,"",E11/C11)</f>
        <v/>
      </c>
    </row>
    <row r="12">
      <c r="A12" s="54" t="inlineStr">
        <is>
          <t>Buitoni</t>
        </is>
      </c>
      <c r="B12" s="28">
        <f>SUMIFS(Data!$R$2:$R$31,Data!$C$2:$C$31,A12)/1000</f>
        <v/>
      </c>
      <c r="C12" s="28">
        <f>D12+E12</f>
        <v/>
      </c>
      <c r="D12" s="28">
        <f>SUMIFS(Data!$S$2:$S$31,Data!$C$2:$C$31,A12)/1000</f>
        <v/>
      </c>
      <c r="E12" s="28">
        <f>SUMIFS(Data!$T$2:$T$31,Data!$C$2:$C$31,A12)/1000</f>
        <v/>
      </c>
      <c r="F12" s="32">
        <f>IF(C12=0,"",D12/C12)</f>
        <v/>
      </c>
      <c r="G12" s="32">
        <f>IF(C12=0,"",E12/C12)</f>
        <v/>
      </c>
    </row>
    <row r="13">
      <c r="A13" s="54" t="inlineStr">
        <is>
          <t>Petit Navire</t>
        </is>
      </c>
      <c r="B13" s="28">
        <f>SUMIFS(Data!$R$2:$R$31,Data!$C$2:$C$31,A13)/1000</f>
        <v/>
      </c>
      <c r="C13" s="28">
        <f>D13+E13</f>
        <v/>
      </c>
      <c r="D13" s="28">
        <f>SUMIFS(Data!$S$2:$S$31,Data!$C$2:$C$31,A13)/1000</f>
        <v/>
      </c>
      <c r="E13" s="28">
        <f>SUMIFS(Data!$T$2:$T$31,Data!$C$2:$C$31,A13)/1000</f>
        <v/>
      </c>
      <c r="F13" s="32">
        <f>IF(C13=0,"",D13/C13)</f>
        <v/>
      </c>
      <c r="G13" s="32">
        <f>IF(C13=0,"",E13/C13)</f>
        <v/>
      </c>
    </row>
    <row r="14">
      <c r="A14" s="54" t="inlineStr">
        <is>
          <t>Nutella</t>
        </is>
      </c>
      <c r="B14" s="28">
        <f>SUMIFS(Data!$R$2:$R$31,Data!$C$2:$C$31,A14)/1000</f>
        <v/>
      </c>
      <c r="C14" s="28">
        <f>D14+E14</f>
        <v/>
      </c>
      <c r="D14" s="28">
        <f>SUMIFS(Data!$S$2:$S$31,Data!$C$2:$C$31,A14)/1000</f>
        <v/>
      </c>
      <c r="E14" s="28">
        <f>SUMIFS(Data!$T$2:$T$31,Data!$C$2:$C$31,A14)/1000</f>
        <v/>
      </c>
      <c r="F14" s="32">
        <f>IF(C14=0,"",D14/C14)</f>
        <v/>
      </c>
      <c r="G14" s="32">
        <f>IF(C14=0,"",E14/C14)</f>
        <v/>
      </c>
    </row>
    <row r="15">
      <c r="A15" s="54" t="inlineStr">
        <is>
          <t>Quaker</t>
        </is>
      </c>
      <c r="B15" s="28">
        <f>SUMIFS(Data!$R$2:$R$31,Data!$C$2:$C$31,A15)/1000</f>
        <v/>
      </c>
      <c r="C15" s="28">
        <f>D15+E15</f>
        <v/>
      </c>
      <c r="D15" s="28">
        <f>SUMIFS(Data!$S$2:$S$31,Data!$C$2:$C$31,A15)/1000</f>
        <v/>
      </c>
      <c r="E15" s="28">
        <f>SUMIFS(Data!$T$2:$T$31,Data!$C$2:$C$31,A15)/1000</f>
        <v/>
      </c>
      <c r="F15" s="32">
        <f>IF(C15=0,"",D15/C15)</f>
        <v/>
      </c>
      <c r="G15" s="32">
        <f>IF(C15=0,"",E15/C15)</f>
        <v/>
      </c>
    </row>
    <row r="16">
      <c r="A16" s="54" t="inlineStr">
        <is>
          <t>Activia</t>
        </is>
      </c>
      <c r="B16" s="28">
        <f>SUMIFS(Data!$R$2:$R$31,Data!$C$2:$C$31,A16)/1000</f>
        <v/>
      </c>
      <c r="C16" s="28">
        <f>D16+E16</f>
        <v/>
      </c>
      <c r="D16" s="28">
        <f>SUMIFS(Data!$S$2:$S$31,Data!$C$2:$C$31,A16)/1000</f>
        <v/>
      </c>
      <c r="E16" s="28">
        <f>SUMIFS(Data!$T$2:$T$31,Data!$C$2:$C$31,A16)/1000</f>
        <v/>
      </c>
      <c r="F16" s="32">
        <f>IF(C16=0,"",D16/C16)</f>
        <v/>
      </c>
      <c r="G16" s="32">
        <f>IF(C16=0,"",E16/C16)</f>
        <v/>
      </c>
    </row>
    <row r="17">
      <c r="A17" s="54" t="inlineStr">
        <is>
          <t>Alpro</t>
        </is>
      </c>
      <c r="B17" s="28">
        <f>SUMIFS(Data!$R$2:$R$31,Data!$C$2:$C$31,A17)/1000</f>
        <v/>
      </c>
      <c r="C17" s="28">
        <f>D17+E17</f>
        <v/>
      </c>
      <c r="D17" s="28">
        <f>SUMIFS(Data!$S$2:$S$31,Data!$C$2:$C$31,A17)/1000</f>
        <v/>
      </c>
      <c r="E17" s="28">
        <f>SUMIFS(Data!$T$2:$T$31,Data!$C$2:$C$31,A17)/1000</f>
        <v/>
      </c>
      <c r="F17" s="32">
        <f>IF(C17=0,"",D17/C17)</f>
        <v/>
      </c>
      <c r="G17" s="32">
        <f>IF(C17=0,"",E17/C17)</f>
        <v/>
      </c>
    </row>
    <row r="18">
      <c r="A18" s="54" t="inlineStr">
        <is>
          <t>Mousline</t>
        </is>
      </c>
      <c r="B18" s="28">
        <f>SUMIFS(Data!$R$2:$R$31,Data!$C$2:$C$31,A18)/1000</f>
        <v/>
      </c>
      <c r="C18" s="28">
        <f>D18+E18</f>
        <v/>
      </c>
      <c r="D18" s="28">
        <f>SUMIFS(Data!$S$2:$S$31,Data!$C$2:$C$31,A18)/1000</f>
        <v/>
      </c>
      <c r="E18" s="28">
        <f>SUMIFS(Data!$T$2:$T$31,Data!$C$2:$C$31,A18)/1000</f>
        <v/>
      </c>
      <c r="F18" s="32">
        <f>IF(C18=0,"",D18/C18)</f>
        <v/>
      </c>
      <c r="G18" s="32">
        <f>IF(C18=0,"",E18/C18)</f>
        <v/>
      </c>
    </row>
    <row r="19" ht="15.75" customHeight="1" s="67">
      <c r="A19" s="54" t="inlineStr">
        <is>
          <t>Marie</t>
        </is>
      </c>
      <c r="B19" s="28">
        <f>SUMIFS(Data!$R$2:$R$31,Data!$C$2:$C$31,A19)/1000</f>
        <v/>
      </c>
      <c r="C19" s="28">
        <f>D19+E19</f>
        <v/>
      </c>
      <c r="D19" s="28">
        <f>SUMIFS(Data!$S$2:$S$31,Data!$C$2:$C$31,A19)/1000</f>
        <v/>
      </c>
      <c r="E19" s="28">
        <f>SUMIFS(Data!$T$2:$T$31,Data!$C$2:$C$31,A19)/1000</f>
        <v/>
      </c>
      <c r="F19" s="32">
        <f>IF(C19=0,"",D19/C19)</f>
        <v/>
      </c>
      <c r="G19" s="32">
        <f>IF(C19=0,"",E19/C19)</f>
        <v/>
      </c>
    </row>
    <row r="20" ht="15.75" customHeight="1" s="67">
      <c r="A20" s="54" t="inlineStr">
        <is>
          <t>Bonduelle</t>
        </is>
      </c>
      <c r="B20" s="28">
        <f>SUMIFS(Data!$R$2:$R$31,Data!$C$2:$C$31,A20)/1000</f>
        <v/>
      </c>
      <c r="C20" s="28">
        <f>D20+E20</f>
        <v/>
      </c>
      <c r="D20" s="28">
        <f>SUMIFS(Data!$S$2:$S$31,Data!$C$2:$C$31,A20)/1000</f>
        <v/>
      </c>
      <c r="E20" s="28">
        <f>SUMIFS(Data!$T$2:$T$31,Data!$C$2:$C$31,A20)/1000</f>
        <v/>
      </c>
      <c r="F20" s="32">
        <f>IF(C20=0,"",D20/C20)</f>
        <v/>
      </c>
      <c r="G20" s="32">
        <f>IF(C20=0,"",E20/C20)</f>
        <v/>
      </c>
    </row>
    <row r="21" ht="15.75" customHeight="1" s="67">
      <c r="A21" s="54" t="inlineStr">
        <is>
          <t>Pringles</t>
        </is>
      </c>
      <c r="B21" s="28">
        <f>SUMIFS(Data!$R$2:$R$31,Data!$C$2:$C$31,A21)/1000</f>
        <v/>
      </c>
      <c r="C21" s="28">
        <f>D21+E21</f>
        <v/>
      </c>
      <c r="D21" s="28">
        <f>SUMIFS(Data!$S$2:$S$31,Data!$C$2:$C$31,A21)/1000</f>
        <v/>
      </c>
      <c r="E21" s="28">
        <f>SUMIFS(Data!$T$2:$T$31,Data!$C$2:$C$31,A21)/1000</f>
        <v/>
      </c>
      <c r="F21" s="32">
        <f>IF(C21=0,"",D21/C21)</f>
        <v/>
      </c>
      <c r="G21" s="32">
        <f>IF(C21=0,"",E21/C21)</f>
        <v/>
      </c>
    </row>
    <row r="22" ht="15.75" customHeight="1" s="67">
      <c r="A22" s="54" t="inlineStr">
        <is>
          <t>D'aucy</t>
        </is>
      </c>
      <c r="B22" s="28">
        <f>SUMIFS(Data!$R$2:$R$31,Data!$C$2:$C$31,A22)/1000</f>
        <v/>
      </c>
      <c r="C22" s="28">
        <f>D22+E22</f>
        <v/>
      </c>
      <c r="D22" s="28">
        <f>SUMIFS(Data!$S$2:$S$31,Data!$C$2:$C$31,A22)/1000</f>
        <v/>
      </c>
      <c r="E22" s="28">
        <f>SUMIFS(Data!$T$2:$T$31,Data!$C$2:$C$31,A22)/1000</f>
        <v/>
      </c>
      <c r="F22" s="32">
        <f>IF(C22=0,"",D22/C22)</f>
        <v/>
      </c>
      <c r="G22" s="32">
        <f>IF(C22=0,"",E22/C22)</f>
        <v/>
      </c>
    </row>
    <row r="23" ht="15.75" customHeight="1" s="67">
      <c r="A23" s="54" t="inlineStr">
        <is>
          <t>Lay's</t>
        </is>
      </c>
      <c r="B23" s="28">
        <f>SUMIFS(Data!$R$2:$R$31,Data!$C$2:$C$31,A23)/1000</f>
        <v/>
      </c>
      <c r="C23" s="28">
        <f>D23+E23</f>
        <v/>
      </c>
      <c r="D23" s="28">
        <f>SUMIFS(Data!$S$2:$S$31,Data!$C$2:$C$31,A23)/1000</f>
        <v/>
      </c>
      <c r="E23" s="28">
        <f>SUMIFS(Data!$T$2:$T$31,Data!$C$2:$C$31,A23)/1000</f>
        <v/>
      </c>
      <c r="F23" s="32">
        <f>IF(C23=0,"",D23/C23)</f>
        <v/>
      </c>
      <c r="G23" s="32">
        <f>IF(C23=0,"",E23/C23)</f>
        <v/>
      </c>
    </row>
    <row r="24" ht="15.75" customHeight="1" s="67">
      <c r="A24" s="54" t="inlineStr">
        <is>
          <t>Garden Gourmet</t>
        </is>
      </c>
      <c r="B24" s="28">
        <f>SUMIFS(Data!$R$2:$R$31,Data!$C$2:$C$31,A24)/1000</f>
        <v/>
      </c>
      <c r="C24" s="28">
        <f>D24+E24</f>
        <v/>
      </c>
      <c r="D24" s="28">
        <f>SUMIFS(Data!$S$2:$S$31,Data!$C$2:$C$31,A24)/1000</f>
        <v/>
      </c>
      <c r="E24" s="28">
        <f>SUMIFS(Data!$T$2:$T$31,Data!$C$2:$C$31,A24)/1000</f>
        <v/>
      </c>
      <c r="F24" s="32">
        <f>IF(C24=0,"",D24/C24)</f>
        <v/>
      </c>
      <c r="G24" s="32">
        <f>IF(C24=0,"",E24/C24)</f>
        <v/>
      </c>
    </row>
    <row r="25" ht="15.75" customHeight="1" s="67">
      <c r="A25" s="54" t="inlineStr">
        <is>
          <t>Mutti</t>
        </is>
      </c>
      <c r="B25" s="28">
        <f>SUMIFS(Data!$R$2:$R$31,Data!$C$2:$C$31,A25)/1000</f>
        <v/>
      </c>
      <c r="C25" s="28">
        <f>D25+E25</f>
        <v/>
      </c>
      <c r="D25" s="28">
        <f>SUMIFS(Data!$S$2:$S$31,Data!$C$2:$C$31,A25)/1000</f>
        <v/>
      </c>
      <c r="E25" s="28">
        <f>SUMIFS(Data!$T$2:$T$31,Data!$C$2:$C$31,A25)/1000</f>
        <v/>
      </c>
      <c r="F25" s="32">
        <f>IF(C25=0,"",D25/C25)</f>
        <v/>
      </c>
      <c r="G25" s="32">
        <f>IF(C25=0,"",E25/C25)</f>
        <v/>
      </c>
    </row>
    <row r="26" ht="15.75" customHeight="1" s="67">
      <c r="A26" s="54" t="inlineStr">
        <is>
          <t>Seeberger</t>
        </is>
      </c>
      <c r="B26" s="28">
        <f>SUMIFS(Data!$R$2:$R$31,Data!$C$2:$C$31,A26)/1000</f>
        <v/>
      </c>
      <c r="C26" s="28">
        <f>D26+E26</f>
        <v/>
      </c>
      <c r="D26" s="28">
        <f>SUMIFS(Data!$S$2:$S$31,Data!$C$2:$C$31,A26)/1000</f>
        <v/>
      </c>
      <c r="E26" s="28">
        <f>SUMIFS(Data!$T$2:$T$31,Data!$C$2:$C$31,A26)/1000</f>
        <v/>
      </c>
      <c r="F26" s="32">
        <f>IF(C26=0,"",D26/C26)</f>
        <v/>
      </c>
      <c r="G26" s="32">
        <f>IF(C26=0,"",E26/C26)</f>
        <v/>
      </c>
    </row>
    <row r="27" ht="15.75" customHeight="1" s="67">
      <c r="A27" s="54" t="inlineStr">
        <is>
          <t>Oatly</t>
        </is>
      </c>
      <c r="B27" s="28">
        <f>SUMIFS(Data!$R$2:$R$31,Data!$C$2:$C$31,A27)/1000</f>
        <v/>
      </c>
      <c r="C27" s="28">
        <f>D27+E27</f>
        <v/>
      </c>
      <c r="D27" s="28">
        <f>SUMIFS(Data!$S$2:$S$31,Data!$C$2:$C$31,A27)/1000</f>
        <v/>
      </c>
      <c r="E27" s="28">
        <f>SUMIFS(Data!$T$2:$T$31,Data!$C$2:$C$31,A27)/1000</f>
        <v/>
      </c>
      <c r="F27" s="32">
        <f>IF(C27=0,"",D27/C27)</f>
        <v/>
      </c>
      <c r="G27" s="32">
        <f>IF(C27=0,"",E27/C27)</f>
        <v/>
      </c>
    </row>
    <row r="28" ht="15.75" customHeight="1" s="67">
      <c r="A28" s="54" t="inlineStr">
        <is>
          <t>Taifun</t>
        </is>
      </c>
      <c r="B28" s="28">
        <f>SUMIFS(Data!$R$2:$R$31,Data!$C$2:$C$31,A28)/1000</f>
        <v/>
      </c>
      <c r="C28" s="28">
        <f>D28+E28</f>
        <v/>
      </c>
      <c r="D28" s="28">
        <f>SUMIFS(Data!$S$2:$S$31,Data!$C$2:$C$31,A28)/1000</f>
        <v/>
      </c>
      <c r="E28" s="28">
        <f>SUMIFS(Data!$T$2:$T$31,Data!$C$2:$C$31,A28)/1000</f>
        <v/>
      </c>
      <c r="F28" s="32">
        <f>IF(C28=0,"",D28/C28)</f>
        <v/>
      </c>
      <c r="G28" s="32">
        <f>IF(C28=0,"",E28/C28)</f>
        <v/>
      </c>
    </row>
    <row r="29" ht="15.75" customHeight="1" s="67">
      <c r="A29" s="54" t="inlineStr">
        <is>
          <t>Paysan Breton</t>
        </is>
      </c>
      <c r="B29" s="28">
        <f>SUMIFS(Data!$R$2:$R$31,Data!$C$2:$C$31,A29)/1000</f>
        <v/>
      </c>
      <c r="C29" s="28">
        <f>D29+E29</f>
        <v/>
      </c>
      <c r="D29" s="28">
        <f>SUMIFS(Data!$S$2:$S$31,Data!$C$2:$C$31,A29)/1000</f>
        <v/>
      </c>
      <c r="E29" s="28">
        <f>SUMIFS(Data!$T$2:$T$31,Data!$C$2:$C$31,A29)/1000</f>
        <v/>
      </c>
      <c r="F29" s="32">
        <f>IF(C29=0,"",D29/C29)</f>
        <v/>
      </c>
      <c r="G29" s="32">
        <f>IF(C29=0,"",E29/C29)</f>
        <v/>
      </c>
    </row>
    <row r="30" ht="15.75" customHeight="1" s="67">
      <c r="A30" s="54" t="inlineStr">
        <is>
          <t>Coca-Cola</t>
        </is>
      </c>
      <c r="B30" s="28">
        <f>SUMIFS(Data!$R$2:$R$31,Data!$C$2:$C$31,A30)/1000</f>
        <v/>
      </c>
      <c r="C30" s="28">
        <f>D30+E30</f>
        <v/>
      </c>
      <c r="D30" s="28">
        <f>SUMIFS(Data!$S$2:$S$31,Data!$C$2:$C$31,A30)/1000</f>
        <v/>
      </c>
      <c r="E30" s="28">
        <f>SUMIFS(Data!$T$2:$T$31,Data!$C$2:$C$31,A30)/1000</f>
        <v/>
      </c>
      <c r="F30" s="32">
        <f>IF(C30=0,"",D30/C30)</f>
        <v/>
      </c>
      <c r="G30" s="32">
        <f>IF(C30=0,"",E30/C30)</f>
        <v/>
      </c>
    </row>
    <row r="31" ht="15.75" customHeight="1" s="67">
      <c r="A31" s="54" t="inlineStr">
        <is>
          <t>Heineken</t>
        </is>
      </c>
      <c r="B31" s="28">
        <f>SUMIFS(Data!$R$2:$R$31,Data!$C$2:$C$31,A31)/1000</f>
        <v/>
      </c>
      <c r="C31" s="28">
        <f>D31+E31</f>
        <v/>
      </c>
      <c r="D31" s="28">
        <f>SUMIFS(Data!$S$2:$S$31,Data!$C$2:$C$31,A31)/1000</f>
        <v/>
      </c>
      <c r="E31" s="28">
        <f>SUMIFS(Data!$T$2:$T$31,Data!$C$2:$C$31,A31)/1000</f>
        <v/>
      </c>
      <c r="F31" s="32">
        <f>IF(C31=0,"",D31/C31)</f>
        <v/>
      </c>
      <c r="G31" s="32">
        <f>IF(C31=0,"",E31/C31)</f>
        <v/>
      </c>
    </row>
    <row r="32" ht="15.75" customHeight="1" s="67">
      <c r="A32" s="54" t="inlineStr">
        <is>
          <t>Lesieur</t>
        </is>
      </c>
      <c r="B32" s="28">
        <f>SUMIFS(Data!$R$2:$R$31,Data!$C$2:$C$31,A32)/1000</f>
        <v/>
      </c>
      <c r="C32" s="28">
        <f>D32+E32</f>
        <v/>
      </c>
      <c r="D32" s="28">
        <f>SUMIFS(Data!$S$2:$S$31,Data!$C$2:$C$31,A32)/1000</f>
        <v/>
      </c>
      <c r="E32" s="28">
        <f>SUMIFS(Data!$T$2:$T$31,Data!$C$2:$C$31,A32)/1000</f>
        <v/>
      </c>
      <c r="F32" s="32">
        <f>IF(C32=0,"",D32/C32)</f>
        <v/>
      </c>
      <c r="G32" s="32">
        <f>IF(C32=0,"",E32/C32)</f>
        <v/>
      </c>
    </row>
    <row r="33" ht="15.75" customHeight="1" s="67">
      <c r="A33" s="54" t="inlineStr">
        <is>
          <t>Lotus</t>
        </is>
      </c>
      <c r="B33" s="28">
        <f>SUMIFS(Data!$R$2:$R$31,Data!$C$2:$C$31,A33)/1000</f>
        <v/>
      </c>
      <c r="C33" s="28">
        <f>D33+E33</f>
        <v/>
      </c>
      <c r="D33" s="28">
        <f>SUMIFS(Data!$S$2:$S$31,Data!$C$2:$C$31,A33)/1000</f>
        <v/>
      </c>
      <c r="E33" s="28">
        <f>SUMIFS(Data!$T$2:$T$31,Data!$C$2:$C$31,A33)/1000</f>
        <v/>
      </c>
      <c r="F33" s="32">
        <f>IF(C33=0,"",D33/C33)</f>
        <v/>
      </c>
      <c r="G33" s="32">
        <f>IF(C33=0,"",E33/C33)</f>
        <v/>
      </c>
    </row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</sheetData>
  <autoFilter ref="A3:G33"/>
  <mergeCells count="1">
    <mergeCell ref="A1:G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selection activeCell="A1" sqref="A1"/>
    </sheetView>
  </sheetViews>
  <sheetFormatPr baseColWidth="8" defaultColWidth="14.43" defaultRowHeight="15" customHeight="1"/>
  <cols>
    <col width="15" customWidth="1" style="67" min="1" max="1"/>
    <col width="44" customWidth="1" style="67" min="2" max="2"/>
    <col width="20" customWidth="1" style="67" min="3" max="3"/>
    <col width="26" customWidth="1" style="67" min="4" max="4"/>
    <col width="10" customWidth="1" style="67" min="5" max="5"/>
    <col width="15" customWidth="1" style="67" min="6" max="6"/>
    <col width="16" customWidth="1" style="67" min="7" max="7"/>
    <col width="15" customWidth="1" style="67" min="8" max="8"/>
    <col width="16" customWidth="1" style="67" min="9" max="10"/>
    <col width="15" customWidth="1" style="67" min="11" max="11"/>
  </cols>
  <sheetData>
    <row r="1" ht="25.5" customHeight="1" s="67">
      <c r="A1" s="58" t="inlineStr">
        <is>
          <t xml:space="preserve">  BY PRODUCT · the 10 products carrying the most plant protein and the 10 carrying the most animal protein</t>
        </is>
      </c>
    </row>
    <row r="2"/>
    <row r="3" ht="21.75" customHeight="1" s="67">
      <c r="A3" s="26" t="inlineStr">
        <is>
          <t xml:space="preserve">  The 10 products carrying the most plant protein</t>
        </is>
      </c>
    </row>
    <row r="4"/>
    <row r="5" ht="30" customHeight="1" s="67">
      <c r="A5" s="19" t="inlineStr">
        <is>
          <t>EAN 13</t>
        </is>
      </c>
      <c r="B5" s="19" t="inlineStr">
        <is>
          <t>Product</t>
        </is>
      </c>
      <c r="C5" s="19" t="inlineStr">
        <is>
          <t>Brand</t>
        </is>
      </c>
      <c r="D5" s="19" t="inlineStr">
        <is>
          <t>Category</t>
        </is>
      </c>
      <c r="E5" s="19" t="inlineStr">
        <is>
          <t>Food group</t>
        </is>
      </c>
      <c r="F5" s="19" t="inlineStr">
        <is>
          <t>Unit weight (kg)</t>
        </is>
      </c>
      <c r="G5" s="19" t="inlineStr">
        <is>
          <t>Volume sold (units)</t>
        </is>
      </c>
      <c r="H5" s="19" t="inlineStr">
        <is>
          <t>Protein (g/100 g)</t>
        </is>
      </c>
      <c r="I5" s="19" t="inlineStr">
        <is>
          <t>Plant protein (t)</t>
        </is>
      </c>
      <c r="J5" s="19" t="inlineStr">
        <is>
          <t>Animal protein (t)</t>
        </is>
      </c>
      <c r="K5" s="19" t="inlineStr">
        <is>
          <t>Plant share (protein)</t>
        </is>
      </c>
    </row>
    <row r="6" s="67">
      <c r="A6" s="54" t="inlineStr">
        <is>
          <t>8076800195057</t>
        </is>
      </c>
      <c r="B6" s="54" t="inlineStr">
        <is>
          <t>Spaghetti n°5, 500 g</t>
        </is>
      </c>
      <c r="C6" s="54" t="inlineStr">
        <is>
          <t>Barilla</t>
        </is>
      </c>
      <c r="D6" s="54" t="inlineStr">
        <is>
          <t>Pasta</t>
        </is>
      </c>
      <c r="E6" s="54" t="inlineStr">
        <is>
          <t>FG5</t>
        </is>
      </c>
      <c r="F6" s="59">
        <f>Data!O4</f>
        <v/>
      </c>
      <c r="G6" s="28">
        <f>Data!Q4</f>
        <v/>
      </c>
      <c r="H6" s="60">
        <f>Data!L4</f>
        <v/>
      </c>
      <c r="I6" s="61">
        <f>Data!S4/1000</f>
        <v/>
      </c>
      <c r="J6" s="61">
        <f>Data!T4/1000</f>
        <v/>
      </c>
      <c r="K6" s="32">
        <f>IF(I6+J6=0,"",I6/(I6+J6))</f>
        <v/>
      </c>
    </row>
    <row r="7" s="67">
      <c r="A7" s="54" t="inlineStr">
        <is>
          <t>3228857000852</t>
        </is>
      </c>
      <c r="B7" s="54" t="inlineStr">
        <is>
          <t>Crustless white sandwich bread, 500 g</t>
        </is>
      </c>
      <c r="C7" s="54" t="inlineStr">
        <is>
          <t>Harrys</t>
        </is>
      </c>
      <c r="D7" s="54" t="inlineStr">
        <is>
          <t>Sandwich bread</t>
        </is>
      </c>
      <c r="E7" s="54" t="inlineStr">
        <is>
          <t>FG5</t>
        </is>
      </c>
      <c r="F7" s="59">
        <f>Data!O9</f>
        <v/>
      </c>
      <c r="G7" s="28">
        <f>Data!Q9</f>
        <v/>
      </c>
      <c r="H7" s="60">
        <f>Data!L9</f>
        <v/>
      </c>
      <c r="I7" s="61">
        <f>Data!S9/1000</f>
        <v/>
      </c>
      <c r="J7" s="61">
        <f>Data!T9/1000</f>
        <v/>
      </c>
      <c r="K7" s="32">
        <f>IF(I7+J7=0,"",I7/(I7+J7))</f>
        <v/>
      </c>
    </row>
    <row r="8" s="67">
      <c r="A8" s="54" t="inlineStr">
        <is>
          <t>8710100426588</t>
        </is>
      </c>
      <c r="B8" s="54" t="inlineStr">
        <is>
          <t>Rolled oats, 800 g</t>
        </is>
      </c>
      <c r="C8" s="54" t="inlineStr">
        <is>
          <t>Quaker</t>
        </is>
      </c>
      <c r="D8" s="54" t="inlineStr">
        <is>
          <t>Cereals</t>
        </is>
      </c>
      <c r="E8" s="54" t="inlineStr">
        <is>
          <t>FG5</t>
        </is>
      </c>
      <c r="F8" s="59">
        <f>Data!O28</f>
        <v/>
      </c>
      <c r="G8" s="28">
        <f>Data!Q28</f>
        <v/>
      </c>
      <c r="H8" s="60">
        <f>Data!L28</f>
        <v/>
      </c>
      <c r="I8" s="61">
        <f>Data!S28/1000</f>
        <v/>
      </c>
      <c r="J8" s="61">
        <f>Data!T28/1000</f>
        <v/>
      </c>
      <c r="K8" s="32">
        <f>IF(I8+J8=0,"",I8/(I8+J8))</f>
        <v/>
      </c>
    </row>
    <row r="9" s="67">
      <c r="A9" s="54" t="inlineStr">
        <is>
          <t>7613034223852</t>
        </is>
      </c>
      <c r="B9" s="54" t="inlineStr">
        <is>
          <t>Fraîch'Up four-cheese pizza, 600 g</t>
        </is>
      </c>
      <c r="C9" s="54" t="inlineStr">
        <is>
          <t>Buitoni</t>
        </is>
      </c>
      <c r="D9" s="54" t="inlineStr">
        <is>
          <t>Pizzas</t>
        </is>
      </c>
      <c r="E9" s="54" t="inlineStr">
        <is>
          <t>not applicable</t>
        </is>
      </c>
      <c r="F9" s="59">
        <f>Data!O20</f>
        <v/>
      </c>
      <c r="G9" s="28">
        <f>Data!Q20</f>
        <v/>
      </c>
      <c r="H9" s="60">
        <f>Data!L20</f>
        <v/>
      </c>
      <c r="I9" s="61">
        <f>Data!S20/1000</f>
        <v/>
      </c>
      <c r="J9" s="61">
        <f>Data!T20/1000</f>
        <v/>
      </c>
      <c r="K9" s="32">
        <f>IF(I9+J9=0,"",I9/(I9+J9))</f>
        <v/>
      </c>
    </row>
    <row r="10" s="67">
      <c r="A10" s="54" t="inlineStr">
        <is>
          <t>5411188079996</t>
        </is>
      </c>
      <c r="B10" s="54" t="inlineStr">
        <is>
          <t>Soy drink, no sugars, 1 L</t>
        </is>
      </c>
      <c r="C10" s="54" t="inlineStr">
        <is>
          <t>Alpro</t>
        </is>
      </c>
      <c r="D10" s="54" t="inlineStr">
        <is>
          <t>Plant drinks</t>
        </is>
      </c>
      <c r="E10" s="54" t="inlineStr">
        <is>
          <t>FG2</t>
        </is>
      </c>
      <c r="F10" s="59">
        <f>Data!O22</f>
        <v/>
      </c>
      <c r="G10" s="28">
        <f>Data!Q22</f>
        <v/>
      </c>
      <c r="H10" s="60">
        <f>Data!L22</f>
        <v/>
      </c>
      <c r="I10" s="61">
        <f>Data!S22/1000</f>
        <v/>
      </c>
      <c r="J10" s="61">
        <f>Data!T22/1000</f>
        <v/>
      </c>
      <c r="K10" s="32">
        <f>IF(I10+J10=0,"",I10/(I10+J10))</f>
        <v/>
      </c>
    </row>
    <row r="11" s="67">
      <c r="A11" s="54" t="inlineStr">
        <is>
          <t>3017620422003</t>
        </is>
      </c>
      <c r="B11" s="54" t="inlineStr">
        <is>
          <t>Nutella hazelnut spread, 400 g</t>
        </is>
      </c>
      <c r="C11" s="54" t="inlineStr">
        <is>
          <t>Nutella</t>
        </is>
      </c>
      <c r="D11" s="54" t="inlineStr">
        <is>
          <t>Spreads</t>
        </is>
      </c>
      <c r="E11" s="54" t="inlineStr">
        <is>
          <t>FG7</t>
        </is>
      </c>
      <c r="F11" s="59">
        <f>Data!O12</f>
        <v/>
      </c>
      <c r="G11" s="28">
        <f>Data!Q12</f>
        <v/>
      </c>
      <c r="H11" s="60">
        <f>Data!L12</f>
        <v/>
      </c>
      <c r="I11" s="61">
        <f>Data!S12/1000</f>
        <v/>
      </c>
      <c r="J11" s="61">
        <f>Data!T12/1000</f>
        <v/>
      </c>
      <c r="K11" s="32">
        <f>IF(I11+J11=0,"",I11/(I11+J11))</f>
        <v/>
      </c>
    </row>
    <row r="12" s="67">
      <c r="A12" s="54" t="inlineStr">
        <is>
          <t>7613034897930</t>
        </is>
      </c>
      <c r="B12" s="54" t="inlineStr">
        <is>
          <t>Instant mashed potato, plain, 4 × 130 g</t>
        </is>
      </c>
      <c r="C12" s="54" t="inlineStr">
        <is>
          <t>Mousline</t>
        </is>
      </c>
      <c r="D12" s="54" t="inlineStr">
        <is>
          <t>Potato flakes</t>
        </is>
      </c>
      <c r="E12" s="54" t="inlineStr">
        <is>
          <t>FG6</t>
        </is>
      </c>
      <c r="F12" s="59">
        <f>Data!O27</f>
        <v/>
      </c>
      <c r="G12" s="28">
        <f>Data!Q27</f>
        <v/>
      </c>
      <c r="H12" s="60">
        <f>Data!L27</f>
        <v/>
      </c>
      <c r="I12" s="61">
        <f>Data!S27/1000</f>
        <v/>
      </c>
      <c r="J12" s="61">
        <f>Data!T27/1000</f>
        <v/>
      </c>
      <c r="K12" s="32">
        <f>IF(I12+J12=0,"",I12/(I12+J12))</f>
        <v/>
      </c>
    </row>
    <row r="13" s="67">
      <c r="A13" s="54" t="inlineStr">
        <is>
          <t>3083681085891</t>
        </is>
      </c>
      <c r="B13" s="54" t="inlineStr">
        <is>
          <t>Steamed lentils, 265 g</t>
        </is>
      </c>
      <c r="C13" s="54" t="inlineStr">
        <is>
          <t>Bonduelle</t>
        </is>
      </c>
      <c r="D13" s="54" t="inlineStr">
        <is>
          <t>Canned pulses</t>
        </is>
      </c>
      <c r="E13" s="54" t="inlineStr">
        <is>
          <t>FG1</t>
        </is>
      </c>
      <c r="F13" s="59">
        <f>Data!O26</f>
        <v/>
      </c>
      <c r="G13" s="28">
        <f>Data!Q26</f>
        <v/>
      </c>
      <c r="H13" s="60">
        <f>Data!L26</f>
        <v/>
      </c>
      <c r="I13" s="61">
        <f>Data!S26/1000</f>
        <v/>
      </c>
      <c r="J13" s="61">
        <f>Data!T26/1000</f>
        <v/>
      </c>
      <c r="K13" s="32">
        <f>IF(I13+J13=0,"",I13/(I13+J13))</f>
        <v/>
      </c>
    </row>
    <row r="14" s="67">
      <c r="A14" s="54" t="inlineStr">
        <is>
          <t>3017800078662</t>
        </is>
      </c>
      <c r="B14" s="54" t="inlineStr">
        <is>
          <t>Extra fine garden peas, 280 g</t>
        </is>
      </c>
      <c r="C14" s="54" t="inlineStr">
        <is>
          <t>D'aucy</t>
        </is>
      </c>
      <c r="D14" s="54" t="inlineStr">
        <is>
          <t>Canned vegetables</t>
        </is>
      </c>
      <c r="E14" s="54" t="inlineStr">
        <is>
          <t>FG1</t>
        </is>
      </c>
      <c r="F14" s="59">
        <f>Data!O19</f>
        <v/>
      </c>
      <c r="G14" s="28">
        <f>Data!Q19</f>
        <v/>
      </c>
      <c r="H14" s="60">
        <f>Data!L19</f>
        <v/>
      </c>
      <c r="I14" s="61">
        <f>Data!S19/1000</f>
        <v/>
      </c>
      <c r="J14" s="61">
        <f>Data!T19/1000</f>
        <v/>
      </c>
      <c r="K14" s="32">
        <f>IF(I14+J14=0,"",I14/(I14+J14))</f>
        <v/>
      </c>
    </row>
    <row r="15" s="67">
      <c r="A15" s="54" t="inlineStr">
        <is>
          <t>5053990155354</t>
        </is>
      </c>
      <c r="B15" s="54" t="inlineStr">
        <is>
          <t>Pringles Sour Cream &amp; Onion, 175 g</t>
        </is>
      </c>
      <c r="C15" s="54" t="inlineStr">
        <is>
          <t>Pringles</t>
        </is>
      </c>
      <c r="D15" s="54" t="inlineStr">
        <is>
          <t>Crisps</t>
        </is>
      </c>
      <c r="E15" s="54" t="inlineStr">
        <is>
          <t>FG7</t>
        </is>
      </c>
      <c r="F15" s="59">
        <f>Data!O15</f>
        <v/>
      </c>
      <c r="G15" s="28">
        <f>Data!Q15</f>
        <v/>
      </c>
      <c r="H15" s="60">
        <f>Data!L15</f>
        <v/>
      </c>
      <c r="I15" s="61">
        <f>Data!S15/1000</f>
        <v/>
      </c>
      <c r="J15" s="61">
        <f>Data!T15/1000</f>
        <v/>
      </c>
      <c r="K15" s="32">
        <f>IF(I15+J15=0,"",I15/(I15+J15))</f>
        <v/>
      </c>
    </row>
    <row r="16" s="67"/>
    <row r="17" s="67"/>
    <row r="18" ht="21.75" customHeight="1" s="67">
      <c r="A18" s="63" t="inlineStr">
        <is>
          <t xml:space="preserve">  The 10 products carrying the most animal protein</t>
        </is>
      </c>
    </row>
    <row r="19" s="67"/>
    <row r="20" ht="30" customHeight="1" s="67">
      <c r="A20" s="19" t="inlineStr">
        <is>
          <t>EAN 13</t>
        </is>
      </c>
      <c r="B20" s="19" t="inlineStr">
        <is>
          <t>Product</t>
        </is>
      </c>
      <c r="C20" s="19" t="inlineStr">
        <is>
          <t>Brand</t>
        </is>
      </c>
      <c r="D20" s="19" t="inlineStr">
        <is>
          <t>Category</t>
        </is>
      </c>
      <c r="E20" s="19" t="inlineStr">
        <is>
          <t>Food group</t>
        </is>
      </c>
      <c r="F20" s="19" t="inlineStr">
        <is>
          <t>Unit weight (kg)</t>
        </is>
      </c>
      <c r="G20" s="19" t="inlineStr">
        <is>
          <t>Volume sold (units)</t>
        </is>
      </c>
      <c r="H20" s="19" t="inlineStr">
        <is>
          <t>Protein (g/100 g)</t>
        </is>
      </c>
      <c r="I20" s="19" t="inlineStr">
        <is>
          <t>Plant protein (t)</t>
        </is>
      </c>
      <c r="J20" s="19" t="inlineStr">
        <is>
          <t>Animal protein (t)</t>
        </is>
      </c>
      <c r="K20" s="19" t="inlineStr">
        <is>
          <t>Plant share (protein)</t>
        </is>
      </c>
    </row>
    <row r="21" s="67">
      <c r="A21" s="54" t="inlineStr">
        <is>
          <t>3428273980046</t>
        </is>
      </c>
      <c r="B21" s="54" t="inlineStr">
        <is>
          <t>Matin Léger semi-skimmed milk, 1 L</t>
        </is>
      </c>
      <c r="C21" s="54" t="inlineStr">
        <is>
          <t>Lactel</t>
        </is>
      </c>
      <c r="D21" s="54" t="inlineStr">
        <is>
          <t>Milk</t>
        </is>
      </c>
      <c r="E21" s="54" t="inlineStr">
        <is>
          <t>FG2</t>
        </is>
      </c>
      <c r="F21" s="59">
        <f>Data!O2</f>
        <v/>
      </c>
      <c r="G21" s="28">
        <f>Data!Q2</f>
        <v/>
      </c>
      <c r="H21" s="60">
        <f>Data!L2</f>
        <v/>
      </c>
      <c r="I21" s="61">
        <f>Data!S2/1000</f>
        <v/>
      </c>
      <c r="J21" s="61">
        <f>Data!T2/1000</f>
        <v/>
      </c>
      <c r="K21" s="32">
        <f>IF(I21+J21=0,"",I21/(I21+J21))</f>
        <v/>
      </c>
    </row>
    <row r="22" s="67">
      <c r="A22" s="54" t="inlineStr">
        <is>
          <t>3251320080617</t>
        </is>
      </c>
      <c r="B22" s="54" t="inlineStr">
        <is>
          <t>6 free-range eggs, Label Rouge</t>
        </is>
      </c>
      <c r="C22" s="54" t="inlineStr">
        <is>
          <t>Loué</t>
        </is>
      </c>
      <c r="D22" s="54" t="inlineStr">
        <is>
          <t>Eggs</t>
        </is>
      </c>
      <c r="E22" s="54" t="inlineStr">
        <is>
          <t>FG1</t>
        </is>
      </c>
      <c r="F22" s="59">
        <f>Data!O6</f>
        <v/>
      </c>
      <c r="G22" s="28">
        <f>Data!Q6</f>
        <v/>
      </c>
      <c r="H22" s="60">
        <f>Data!L6</f>
        <v/>
      </c>
      <c r="I22" s="61">
        <f>Data!S6/1000</f>
        <v/>
      </c>
      <c r="J22" s="61">
        <f>Data!T6/1000</f>
        <v/>
      </c>
      <c r="K22" s="32">
        <f>IF(I22+J22=0,"",I22/(I22+J22))</f>
        <v/>
      </c>
    </row>
    <row r="23" s="67">
      <c r="A23" s="54" t="inlineStr">
        <is>
          <t>3266980891411</t>
        </is>
      </c>
      <c r="B23" s="54" t="inlineStr">
        <is>
          <t>Chicken breast fillets, 300 g</t>
        </is>
      </c>
      <c r="C23" s="54" t="inlineStr">
        <is>
          <t>Le Gaulois</t>
        </is>
      </c>
      <c r="D23" s="54" t="inlineStr">
        <is>
          <t>Chicken</t>
        </is>
      </c>
      <c r="E23" s="54" t="inlineStr">
        <is>
          <t>FG1</t>
        </is>
      </c>
      <c r="F23" s="59">
        <f>Data!O11</f>
        <v/>
      </c>
      <c r="G23" s="28">
        <f>Data!Q11</f>
        <v/>
      </c>
      <c r="H23" s="60">
        <f>Data!L11</f>
        <v/>
      </c>
      <c r="I23" s="61">
        <f>Data!S11/1000</f>
        <v/>
      </c>
      <c r="J23" s="61">
        <f>Data!T11/1000</f>
        <v/>
      </c>
      <c r="K23" s="32">
        <f>IF(I23+J23=0,"",I23/(I23+J23))</f>
        <v/>
      </c>
    </row>
    <row r="24" s="67">
      <c r="A24" s="54" t="inlineStr">
        <is>
          <t>3181232220286</t>
        </is>
      </c>
      <c r="B24" s="54" t="inlineStr">
        <is>
          <t>Minced beef patties 5% fat, 2 × 130 g</t>
        </is>
      </c>
      <c r="C24" s="54" t="inlineStr">
        <is>
          <t>Charal</t>
        </is>
      </c>
      <c r="D24" s="54" t="inlineStr">
        <is>
          <t>Minced beef</t>
        </is>
      </c>
      <c r="E24" s="54" t="inlineStr">
        <is>
          <t>FG1</t>
        </is>
      </c>
      <c r="F24" s="59">
        <f>Data!O7</f>
        <v/>
      </c>
      <c r="G24" s="28">
        <f>Data!Q7</f>
        <v/>
      </c>
      <c r="H24" s="60">
        <f>Data!L7</f>
        <v/>
      </c>
      <c r="I24" s="61">
        <f>Data!S7/1000</f>
        <v/>
      </c>
      <c r="J24" s="61">
        <f>Data!T7/1000</f>
        <v/>
      </c>
      <c r="K24" s="32">
        <f>IF(I24+J24=0,"",I24/(I24+J24))</f>
        <v/>
      </c>
    </row>
    <row r="25" s="67">
      <c r="A25" s="54" t="inlineStr">
        <is>
          <t>3154230809302</t>
        </is>
      </c>
      <c r="B25" s="54" t="inlineStr">
        <is>
          <t>Le Bon Paris cooked ham, 4 slices</t>
        </is>
      </c>
      <c r="C25" s="54" t="inlineStr">
        <is>
          <t>Herta</t>
        </is>
      </c>
      <c r="D25" s="54" t="inlineStr">
        <is>
          <t>Cooked ham</t>
        </is>
      </c>
      <c r="E25" s="54" t="inlineStr">
        <is>
          <t>FG1</t>
        </is>
      </c>
      <c r="F25" s="59">
        <f>Data!O5</f>
        <v/>
      </c>
      <c r="G25" s="28">
        <f>Data!Q5</f>
        <v/>
      </c>
      <c r="H25" s="60">
        <f>Data!L5</f>
        <v/>
      </c>
      <c r="I25" s="61">
        <f>Data!S5/1000</f>
        <v/>
      </c>
      <c r="J25" s="61">
        <f>Data!T5/1000</f>
        <v/>
      </c>
      <c r="K25" s="32">
        <f>IF(I25+J25=0,"",I25/(I25+J25))</f>
        <v/>
      </c>
    </row>
    <row r="26" s="67">
      <c r="A26" s="54" t="inlineStr">
        <is>
          <t>3228021170039</t>
        </is>
      </c>
      <c r="B26" s="54" t="inlineStr">
        <is>
          <t>Camembert, 250 g</t>
        </is>
      </c>
      <c r="C26" s="54" t="inlineStr">
        <is>
          <t>Président</t>
        </is>
      </c>
      <c r="D26" s="54" t="inlineStr">
        <is>
          <t>Soft cheese</t>
        </is>
      </c>
      <c r="E26" s="54" t="inlineStr">
        <is>
          <t>FG2</t>
        </is>
      </c>
      <c r="F26" s="59">
        <f>Data!O14</f>
        <v/>
      </c>
      <c r="G26" s="28">
        <f>Data!Q14</f>
        <v/>
      </c>
      <c r="H26" s="60">
        <f>Data!L14</f>
        <v/>
      </c>
      <c r="I26" s="61">
        <f>Data!S14/1000</f>
        <v/>
      </c>
      <c r="J26" s="61">
        <f>Data!T14/1000</f>
        <v/>
      </c>
      <c r="K26" s="32">
        <f>IF(I26+J26=0,"",I26/(I26+J26))</f>
        <v/>
      </c>
    </row>
    <row r="27" s="67">
      <c r="A27" s="54" t="inlineStr">
        <is>
          <t>3019081239237</t>
        </is>
      </c>
      <c r="B27" s="54" t="inlineStr">
        <is>
          <t>Whole tuna in brine, 160 g</t>
        </is>
      </c>
      <c r="C27" s="54" t="inlineStr">
        <is>
          <t>Petit Navire</t>
        </is>
      </c>
      <c r="D27" s="54" t="inlineStr">
        <is>
          <t>Canned fish</t>
        </is>
      </c>
      <c r="E27" s="54" t="inlineStr">
        <is>
          <t>FG1</t>
        </is>
      </c>
      <c r="F27" s="59">
        <f>Data!O17</f>
        <v/>
      </c>
      <c r="G27" s="28">
        <f>Data!Q17</f>
        <v/>
      </c>
      <c r="H27" s="60">
        <f>Data!L17</f>
        <v/>
      </c>
      <c r="I27" s="61">
        <f>Data!S17/1000</f>
        <v/>
      </c>
      <c r="J27" s="61">
        <f>Data!T17/1000</f>
        <v/>
      </c>
      <c r="K27" s="32">
        <f>IF(I27+J27=0,"",I27/(I27+J27))</f>
        <v/>
      </c>
    </row>
    <row r="28" s="67">
      <c r="A28" s="54" t="inlineStr">
        <is>
          <t>3033491147067</t>
        </is>
      </c>
      <c r="B28" s="54" t="inlineStr">
        <is>
          <t>Activia natural yogurt, 4 × 125 g</t>
        </is>
      </c>
      <c r="C28" s="54" t="inlineStr">
        <is>
          <t>Activia</t>
        </is>
      </c>
      <c r="D28" s="54" t="inlineStr">
        <is>
          <t>Yoghurts</t>
        </is>
      </c>
      <c r="E28" s="54" t="inlineStr">
        <is>
          <t>FG2</t>
        </is>
      </c>
      <c r="F28" s="59">
        <f>Data!O10</f>
        <v/>
      </c>
      <c r="G28" s="28">
        <f>Data!Q10</f>
        <v/>
      </c>
      <c r="H28" s="60">
        <f>Data!L10</f>
        <v/>
      </c>
      <c r="I28" s="61">
        <f>Data!S10/1000</f>
        <v/>
      </c>
      <c r="J28" s="61">
        <f>Data!T10/1000</f>
        <v/>
      </c>
      <c r="K28" s="32">
        <f>IF(I28+J28=0,"",I28/(I28+J28))</f>
        <v/>
      </c>
    </row>
    <row r="29" s="67">
      <c r="A29" s="54" t="inlineStr">
        <is>
          <t>7613034223852</t>
        </is>
      </c>
      <c r="B29" s="54" t="inlineStr">
        <is>
          <t>Fraîch'Up four-cheese pizza, 600 g</t>
        </is>
      </c>
      <c r="C29" s="54" t="inlineStr">
        <is>
          <t>Buitoni</t>
        </is>
      </c>
      <c r="D29" s="54" t="inlineStr">
        <is>
          <t>Pizzas</t>
        </is>
      </c>
      <c r="E29" s="54" t="inlineStr">
        <is>
          <t>not applicable</t>
        </is>
      </c>
      <c r="F29" s="59">
        <f>Data!O20</f>
        <v/>
      </c>
      <c r="G29" s="28">
        <f>Data!Q20</f>
        <v/>
      </c>
      <c r="H29" s="60">
        <f>Data!L20</f>
        <v/>
      </c>
      <c r="I29" s="61">
        <f>Data!S20/1000</f>
        <v/>
      </c>
      <c r="J29" s="61">
        <f>Data!T20/1000</f>
        <v/>
      </c>
      <c r="K29" s="32">
        <f>IF(I29+J29=0,"",I29/(I29+J29))</f>
        <v/>
      </c>
    </row>
    <row r="30" s="67">
      <c r="A30" s="54" t="inlineStr">
        <is>
          <t>3017620422003</t>
        </is>
      </c>
      <c r="B30" s="54" t="inlineStr">
        <is>
          <t>Nutella hazelnut spread, 400 g</t>
        </is>
      </c>
      <c r="C30" s="54" t="inlineStr">
        <is>
          <t>Nutella</t>
        </is>
      </c>
      <c r="D30" s="54" t="inlineStr">
        <is>
          <t>Spreads</t>
        </is>
      </c>
      <c r="E30" s="54" t="inlineStr">
        <is>
          <t>FG7</t>
        </is>
      </c>
      <c r="F30" s="59">
        <f>Data!O12</f>
        <v/>
      </c>
      <c r="G30" s="28">
        <f>Data!Q12</f>
        <v/>
      </c>
      <c r="H30" s="60">
        <f>Data!L12</f>
        <v/>
      </c>
      <c r="I30" s="61">
        <f>Data!S12/1000</f>
        <v/>
      </c>
      <c r="J30" s="61">
        <f>Data!T12/1000</f>
        <v/>
      </c>
      <c r="K30" s="32">
        <f>IF(I30+J30=0,"",I30/(I30+J30))</f>
        <v/>
      </c>
    </row>
    <row r="31" s="67"/>
    <row r="32" s="67"/>
    <row r="33" s="67"/>
    <row r="34" s="67"/>
    <row r="35" s="67"/>
    <row r="36" s="67"/>
    <row r="37" s="67"/>
    <row r="38" s="67"/>
    <row r="39" s="67"/>
    <row r="40" s="67"/>
    <row r="41" s="67"/>
    <row r="42" s="67"/>
    <row r="43" s="67"/>
    <row r="44" s="67"/>
    <row r="45" s="67"/>
    <row r="46" s="67"/>
    <row r="47" s="67"/>
    <row r="48" s="67"/>
    <row r="49" s="67"/>
    <row r="50" s="67"/>
    <row r="51" s="67"/>
    <row r="52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</sheetData>
  <mergeCells count="3">
    <mergeCell ref="A3:K3"/>
    <mergeCell ref="A1:K1"/>
    <mergeCell ref="A18:K18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15" customWidth="1" style="67" min="1" max="1"/>
    <col width="42" customWidth="1" style="67" min="2" max="2"/>
    <col width="22" customWidth="1" style="67" min="3" max="3"/>
    <col width="26" customWidth="1" style="67" min="4" max="5"/>
    <col width="11" customWidth="1" style="67" min="6" max="6"/>
    <col width="24" customWidth="1" style="67" min="7" max="7"/>
    <col width="14" customWidth="1" style="67" min="8" max="8"/>
    <col width="16" customWidth="1" style="67" min="9" max="9"/>
    <col width="20" customWidth="1" style="67" min="10" max="10"/>
    <col width="26" customWidth="1" style="67" min="11" max="11"/>
    <col width="13" customWidth="1" style="67" min="12" max="12"/>
    <col width="12" customWidth="1" style="67" min="13" max="14"/>
    <col width="13" customWidth="1" style="67" min="15" max="15"/>
    <col width="12" customWidth="1" style="67" min="16" max="16"/>
    <col width="16" customWidth="1" style="67" min="17" max="17"/>
    <col width="14" customWidth="1" style="67" min="18" max="18"/>
    <col width="16" customWidth="1" style="67" min="19" max="20"/>
    <col width="60" customWidth="1" style="67" min="21" max="21"/>
    <col width="15" customWidth="1" style="67" min="22" max="22"/>
    <col width="18" customWidth="1" style="67" min="23" max="23"/>
    <col width="15" customWidth="1" style="67" min="24" max="25"/>
    <col width="26" customWidth="1" style="67" min="26" max="26"/>
    <col width="34" customWidth="1" style="67" min="27" max="27"/>
    <col width="12" customWidth="1" style="67" min="28" max="28"/>
    <col width="16" customWidth="1" style="67" min="29" max="29"/>
    <col width="22" customWidth="1" style="67" min="30" max="30"/>
  </cols>
  <sheetData>
    <row r="1" ht="53.25" customHeight="1" s="67">
      <c r="A1" s="62" t="inlineStr">
        <is>
          <t>EAN 13</t>
        </is>
      </c>
      <c r="B1" s="62" t="inlineStr">
        <is>
          <t>Product</t>
        </is>
      </c>
      <c r="C1" s="62" t="inlineStr">
        <is>
          <t>Brand</t>
        </is>
      </c>
      <c r="D1" s="62" t="inlineStr">
        <is>
          <t>Department</t>
        </is>
      </c>
      <c r="E1" s="62" t="inlineStr">
        <is>
          <t>Category</t>
        </is>
      </c>
      <c r="F1" s="62" t="inlineStr">
        <is>
          <t>Food group</t>
        </is>
      </c>
      <c r="G1" s="62" t="inlineStr">
        <is>
          <t>Subgroup</t>
        </is>
      </c>
      <c r="H1" s="62" t="inlineStr">
        <is>
          <t>Origin</t>
        </is>
      </c>
      <c r="I1" s="62" t="inlineStr">
        <is>
          <t>Composite product</t>
        </is>
      </c>
      <c r="J1" s="62" t="inlineStr">
        <is>
          <t>Composite category</t>
        </is>
      </c>
      <c r="K1" s="62" t="inlineStr">
        <is>
          <t>Protein Tracker class</t>
        </is>
      </c>
      <c r="L1" s="62" t="inlineStr">
        <is>
          <t>Protein (g/100 g)</t>
        </is>
      </c>
      <c r="M1" s="62" t="inlineStr">
        <is>
          <t>of which plant</t>
        </is>
      </c>
      <c r="N1" s="62" t="inlineStr">
        <is>
          <t>of which animal</t>
        </is>
      </c>
      <c r="O1" s="62" t="inlineStr">
        <is>
          <t>Unit weight (kg)</t>
        </is>
      </c>
      <c r="P1" s="62" t="inlineStr">
        <is>
          <t>Sales rank</t>
        </is>
      </c>
      <c r="Q1" s="62" t="inlineStr">
        <is>
          <t>Volume sold (units)</t>
        </is>
      </c>
      <c r="R1" s="62" t="inlineStr">
        <is>
          <t>Mass (kg)</t>
        </is>
      </c>
      <c r="S1" s="62" t="inlineStr">
        <is>
          <t>Plant protein (kg)</t>
        </is>
      </c>
      <c r="T1" s="62" t="inlineStr">
        <is>
          <t>Animal protein (kg)</t>
        </is>
      </c>
      <c r="U1" s="62" t="inlineStr">
        <is>
          <t>Ingredient list</t>
        </is>
      </c>
      <c r="V1" s="62" t="inlineStr">
        <is>
          <t>In WWF scope</t>
        </is>
      </c>
      <c r="W1" s="62" t="inlineStr">
        <is>
          <t>In Protein Tracker scope</t>
        </is>
      </c>
      <c r="X1" s="62" t="inlineStr">
        <is>
          <t>WWF confidence (/100)</t>
        </is>
      </c>
      <c r="Y1" s="62" t="inlineStr">
        <is>
          <t>PT confidence (/100)</t>
        </is>
      </c>
      <c r="Z1" s="62" t="inlineStr">
        <is>
          <t>Source of protein value</t>
        </is>
      </c>
      <c r="AA1" s="62" t="inlineStr">
        <is>
          <t>Source of protein split</t>
        </is>
      </c>
      <c r="AB1" s="62" t="inlineStr">
        <is>
          <t>Data level (A or B)</t>
        </is>
      </c>
      <c r="AC1" s="62" t="inlineStr">
        <is>
          <t>Dairy equivalent factor</t>
        </is>
      </c>
      <c r="AD1" s="62" t="inlineStr">
        <is>
          <t>Dairy equivalent mass (kg)</t>
        </is>
      </c>
    </row>
    <row r="2">
      <c r="A2" s="70" t="inlineStr">
        <is>
          <t>3428273980046</t>
        </is>
      </c>
      <c r="B2" s="64" t="inlineStr">
        <is>
          <t>Matin Léger semi-skimmed milk, 1 L</t>
        </is>
      </c>
      <c r="C2" s="64" t="inlineStr">
        <is>
          <t>Lactel</t>
        </is>
      </c>
      <c r="D2" s="64" t="inlineStr">
        <is>
          <t>Dairy</t>
        </is>
      </c>
      <c r="E2" s="64" t="inlineStr">
        <is>
          <t>Milk</t>
        </is>
      </c>
      <c r="F2" s="64" t="inlineStr">
        <is>
          <t>FG2</t>
        </is>
      </c>
      <c r="G2" s="64" t="inlineStr">
        <is>
          <t>dairy_animal</t>
        </is>
      </c>
      <c r="H2" s="64" t="inlineStr">
        <is>
          <t>animal_based</t>
        </is>
      </c>
      <c r="I2" s="64" t="inlineStr">
        <is>
          <t>No</t>
        </is>
      </c>
      <c r="J2" s="64" t="inlineStr">
        <is>
          <t>not applicable</t>
        </is>
      </c>
      <c r="K2" s="64" t="inlineStr">
        <is>
          <t>animal_core</t>
        </is>
      </c>
      <c r="L2" s="64" t="n">
        <v>3.3</v>
      </c>
      <c r="M2" s="64" t="n">
        <v>0</v>
      </c>
      <c r="N2" s="64" t="n">
        <v>3.3</v>
      </c>
      <c r="O2" s="64" t="n">
        <v>1</v>
      </c>
      <c r="P2" s="64" t="n">
        <v>1</v>
      </c>
      <c r="Q2" s="28">
        <f>IFERROR(VLOOKUP(A2,Welcome!$B$33:$D$62,3,FALSE),0)</f>
        <v/>
      </c>
      <c r="R2" s="28">
        <f>IF(N(Q2)*N(O2)=0,0,Q2*O2)</f>
        <v/>
      </c>
      <c r="S2" s="28">
        <f>R2*N(M2)/100</f>
        <v/>
      </c>
      <c r="T2" s="28">
        <f>R2*N(N2)/100</f>
        <v/>
      </c>
      <c r="V2" s="64" t="inlineStr">
        <is>
          <t>Yes</t>
        </is>
      </c>
      <c r="W2" s="64" t="inlineStr">
        <is>
          <t>Yes</t>
        </is>
      </c>
      <c r="X2" s="64" t="inlineStr">
        <is>
          <t>Altera reference database</t>
        </is>
      </c>
      <c r="Y2" s="64" t="inlineStr">
        <is>
          <t>Altera reference database</t>
        </is>
      </c>
      <c r="Z2" s="64" t="inlineStr">
        <is>
          <t>retailer</t>
        </is>
      </c>
      <c r="AA2" s="64" t="inlineStr">
        <is>
          <t>deduced from the origin of the product · the protein follows its single side</t>
        </is>
      </c>
      <c r="AB2" s="64" t="inlineStr">
        <is>
          <t>A</t>
        </is>
      </c>
      <c r="AC2" s="64" t="n">
        <v>1</v>
      </c>
      <c r="AD2" s="28">
        <f>R2*N(AC2)</f>
        <v/>
      </c>
    </row>
    <row r="3" s="67">
      <c r="A3" s="70" t="inlineStr">
        <is>
          <t>5449000214911</t>
        </is>
      </c>
      <c r="B3" s="64" t="inlineStr">
        <is>
          <t>Coca-Cola Original, 33 cl</t>
        </is>
      </c>
      <c r="C3" s="64" t="inlineStr">
        <is>
          <t>Coca-Cola</t>
        </is>
      </c>
      <c r="D3" s="64" t="inlineStr">
        <is>
          <t>Drinks</t>
        </is>
      </c>
      <c r="E3" s="64" t="inlineStr">
        <is>
          <t>Soft drinks</t>
        </is>
      </c>
      <c r="F3" s="64" t="inlineStr">
        <is>
          <t>outside WWF scope</t>
        </is>
      </c>
      <c r="G3" s="64" t="inlineStr">
        <is>
          <t>outside WWF scope</t>
        </is>
      </c>
      <c r="H3" s="64" t="inlineStr">
        <is>
          <t>outside WWF scope</t>
        </is>
      </c>
      <c r="I3" s="64" t="inlineStr">
        <is>
          <t>outside WWF scope</t>
        </is>
      </c>
      <c r="J3" s="64" t="inlineStr">
        <is>
          <t>outside WWF scope</t>
        </is>
      </c>
      <c r="K3" s="64" t="inlineStr">
        <is>
          <t>plant_non_core</t>
        </is>
      </c>
      <c r="L3" s="64" t="n">
        <v>0</v>
      </c>
      <c r="M3" s="64" t="n">
        <v>0</v>
      </c>
      <c r="N3" s="64" t="n">
        <v>0</v>
      </c>
      <c r="O3" s="64" t="n">
        <v>0.33</v>
      </c>
      <c r="P3" s="64" t="n">
        <v>2</v>
      </c>
      <c r="Q3" s="28">
        <f>IFERROR(VLOOKUP(A3,Welcome!$B$33:$D$62,3,FALSE),0)</f>
        <v/>
      </c>
      <c r="R3" s="28">
        <f>IF(N(Q3)*N(O3)=0,0,Q3*O3)</f>
        <v/>
      </c>
      <c r="S3" s="28">
        <f>R3*N(M3)/100</f>
        <v/>
      </c>
      <c r="T3" s="28">
        <f>R3*N(N3)/100</f>
        <v/>
      </c>
      <c r="U3" t="inlineStr">
        <is>
          <t>Carbonated water; sugar; colour: E150d; acid: phosphoric acid; natural flavourings; caffeine flavouring.</t>
        </is>
      </c>
      <c r="V3" s="64" t="inlineStr">
        <is>
          <t>No</t>
        </is>
      </c>
      <c r="W3" s="64" t="inlineStr">
        <is>
          <t>Yes</t>
        </is>
      </c>
      <c r="X3" s="64" t="inlineStr">
        <is>
          <t>outside scope</t>
        </is>
      </c>
      <c r="Y3" s="64" t="inlineStr">
        <is>
          <t>Altera reference database</t>
        </is>
      </c>
      <c r="Z3" s="64" t="inlineStr">
        <is>
          <t>retailer</t>
        </is>
      </c>
      <c r="AA3" s="64" t="inlineStr">
        <is>
          <t>no protein</t>
        </is>
      </c>
      <c r="AB3" s="64" t="inlineStr">
        <is>
          <t>A</t>
        </is>
      </c>
      <c r="AC3" s="64" t="n">
        <v>1</v>
      </c>
      <c r="AD3" s="28">
        <f>R3*N(AC3)</f>
        <v/>
      </c>
    </row>
    <row r="4">
      <c r="A4" s="70" t="inlineStr">
        <is>
          <t>8076800195057</t>
        </is>
      </c>
      <c r="B4" s="64" t="inlineStr">
        <is>
          <t>Spaghetti n°5, 500 g</t>
        </is>
      </c>
      <c r="C4" s="64" t="inlineStr">
        <is>
          <t>Barilla</t>
        </is>
      </c>
      <c r="D4" s="64" t="inlineStr">
        <is>
          <t>Grocery</t>
        </is>
      </c>
      <c r="E4" s="64" t="inlineStr">
        <is>
          <t>Pasta</t>
        </is>
      </c>
      <c r="F4" s="64" t="inlineStr">
        <is>
          <t>FG5</t>
        </is>
      </c>
      <c r="G4" s="64" t="inlineStr">
        <is>
          <t>refined_grain</t>
        </is>
      </c>
      <c r="H4" s="64" t="inlineStr">
        <is>
          <t>plant_based</t>
        </is>
      </c>
      <c r="I4" s="64" t="inlineStr">
        <is>
          <t>No</t>
        </is>
      </c>
      <c r="J4" s="64" t="inlineStr">
        <is>
          <t>not applicable</t>
        </is>
      </c>
      <c r="K4" s="64" t="inlineStr">
        <is>
          <t>plant_non_core</t>
        </is>
      </c>
      <c r="L4" s="64" t="n">
        <v>13</v>
      </c>
      <c r="M4" s="64" t="n">
        <v>13</v>
      </c>
      <c r="N4" s="64" t="n">
        <v>0</v>
      </c>
      <c r="O4" s="64" t="n">
        <v>0.5</v>
      </c>
      <c r="P4" s="64" t="n">
        <v>3</v>
      </c>
      <c r="Q4" s="28">
        <f>IFERROR(VLOOKUP(A4,Welcome!$B$33:$D$62,3,FALSE),0)</f>
        <v/>
      </c>
      <c r="R4" s="28">
        <f>IF(N(Q4)*N(O4)=0,0,Q4*O4)</f>
        <v/>
      </c>
      <c r="S4" s="28">
        <f>R4*N(M4)/100</f>
        <v/>
      </c>
      <c r="T4" s="28">
        <f>R4*N(N4)/100</f>
        <v/>
      </c>
      <c r="U4" t="inlineStr">
        <is>
          <t>Durum WHEAT semolina. May contain traces of SOY and MUSTARD.</t>
        </is>
      </c>
      <c r="V4" s="64" t="inlineStr">
        <is>
          <t>Yes</t>
        </is>
      </c>
      <c r="W4" s="64" t="inlineStr">
        <is>
          <t>Yes</t>
        </is>
      </c>
      <c r="X4" s="64" t="inlineStr">
        <is>
          <t>Altera reference database</t>
        </is>
      </c>
      <c r="Y4" s="64" t="inlineStr">
        <is>
          <t>Altera reference database</t>
        </is>
      </c>
      <c r="Z4" s="64" t="inlineStr">
        <is>
          <t>OpenFoodFacts · retailer value implausible, corrected (per-pack figure)</t>
        </is>
      </c>
      <c r="AA4" s="64" t="inlineStr">
        <is>
          <t>exact · all ingredients on the same side</t>
        </is>
      </c>
      <c r="AB4" s="64" t="inlineStr">
        <is>
          <t>A</t>
        </is>
      </c>
      <c r="AC4" s="64" t="n">
        <v>1</v>
      </c>
      <c r="AD4" s="28">
        <f>R4*N(AC4)</f>
        <v/>
      </c>
    </row>
    <row r="5">
      <c r="A5" s="70" t="inlineStr">
        <is>
          <t>3154230809302</t>
        </is>
      </c>
      <c r="B5" s="64" t="inlineStr">
        <is>
          <t>Le Bon Paris cooked ham, 4 slices</t>
        </is>
      </c>
      <c r="C5" s="64" t="inlineStr">
        <is>
          <t>Herta</t>
        </is>
      </c>
      <c r="D5" s="64" t="inlineStr">
        <is>
          <t>Deli</t>
        </is>
      </c>
      <c r="E5" s="64" t="inlineStr">
        <is>
          <t>Cooked ham</t>
        </is>
      </c>
      <c r="F5" s="64" t="inlineStr">
        <is>
          <t>FG1</t>
        </is>
      </c>
      <c r="G5" s="64" t="inlineStr">
        <is>
          <t>red_meat</t>
        </is>
      </c>
      <c r="H5" s="64" t="inlineStr">
        <is>
          <t>animal_based</t>
        </is>
      </c>
      <c r="I5" s="64" t="inlineStr">
        <is>
          <t>No</t>
        </is>
      </c>
      <c r="J5" s="64" t="inlineStr">
        <is>
          <t>not applicable</t>
        </is>
      </c>
      <c r="K5" s="64" t="inlineStr">
        <is>
          <t>animal_core</t>
        </is>
      </c>
      <c r="L5" s="64" t="n">
        <v>21</v>
      </c>
      <c r="M5" s="64" t="n">
        <v>0</v>
      </c>
      <c r="N5" s="64" t="n">
        <v>21</v>
      </c>
      <c r="O5" s="64" t="n">
        <v>0.17</v>
      </c>
      <c r="P5" s="64" t="n">
        <v>4</v>
      </c>
      <c r="Q5" s="28">
        <f>IFERROR(VLOOKUP(A5,Welcome!$B$33:$D$62,3,FALSE),0)</f>
        <v/>
      </c>
      <c r="R5" s="28">
        <f>IF(N(Q5)*N(O5)=0,0,Q5*O5)</f>
        <v/>
      </c>
      <c r="S5" s="28">
        <f>R5*N(M5)/100</f>
        <v/>
      </c>
      <c r="T5" s="28">
        <f>R5*N(N5)/100</f>
        <v/>
      </c>
      <c r="U5" t="inlineStr">
        <is>
          <t>Fresh pork ham, salt, dextrose, stock (water, salt, pork rind, onion, carrot, pork meat and bones, spices and herbs, garlic), antioxidant: sodium erythorbate, preservative: sodium nitrite.</t>
        </is>
      </c>
      <c r="V5" s="64" t="inlineStr">
        <is>
          <t>Yes</t>
        </is>
      </c>
      <c r="W5" s="64" t="inlineStr">
        <is>
          <t>Yes</t>
        </is>
      </c>
      <c r="X5" s="64" t="inlineStr">
        <is>
          <t>Altera reference database</t>
        </is>
      </c>
      <c r="Y5" s="64" t="inlineStr">
        <is>
          <t>Altera reference database</t>
        </is>
      </c>
      <c r="Z5" s="64" t="inlineStr">
        <is>
          <t>Altera reference database</t>
        </is>
      </c>
      <c r="AA5" s="64" t="inlineStr">
        <is>
          <t>exact · all ingredients on the same side</t>
        </is>
      </c>
      <c r="AB5" s="64" t="inlineStr">
        <is>
          <t>A</t>
        </is>
      </c>
      <c r="AC5" s="64" t="n">
        <v>1</v>
      </c>
      <c r="AD5" s="28">
        <f>R5*N(AC5)</f>
        <v/>
      </c>
    </row>
    <row r="6">
      <c r="A6" s="70" t="inlineStr">
        <is>
          <t>3251320080617</t>
        </is>
      </c>
      <c r="B6" s="64" t="inlineStr">
        <is>
          <t>6 free-range eggs, Label Rouge</t>
        </is>
      </c>
      <c r="C6" s="64" t="inlineStr">
        <is>
          <t>Loué</t>
        </is>
      </c>
      <c r="D6" s="64" t="inlineStr">
        <is>
          <t>Dairy</t>
        </is>
      </c>
      <c r="E6" s="64" t="inlineStr">
        <is>
          <t>Eggs</t>
        </is>
      </c>
      <c r="F6" s="64" t="inlineStr">
        <is>
          <t>FG1</t>
        </is>
      </c>
      <c r="G6" s="64" t="inlineStr">
        <is>
          <t>eggs</t>
        </is>
      </c>
      <c r="H6" s="64" t="inlineStr">
        <is>
          <t>animal_based</t>
        </is>
      </c>
      <c r="I6" s="64" t="inlineStr">
        <is>
          <t>No</t>
        </is>
      </c>
      <c r="J6" s="64" t="inlineStr">
        <is>
          <t>not applicable</t>
        </is>
      </c>
      <c r="K6" s="64" t="inlineStr">
        <is>
          <t>animal_core</t>
        </is>
      </c>
      <c r="L6" s="64" t="n">
        <v>12.7</v>
      </c>
      <c r="M6" s="64" t="n">
        <v>0</v>
      </c>
      <c r="N6" s="64" t="n">
        <v>12.7</v>
      </c>
      <c r="O6" s="64" t="n">
        <v>0.39</v>
      </c>
      <c r="P6" s="64" t="n">
        <v>5</v>
      </c>
      <c r="Q6" s="28">
        <f>IFERROR(VLOOKUP(A6,Welcome!$B$33:$D$62,3,FALSE),0)</f>
        <v/>
      </c>
      <c r="R6" s="28">
        <f>IF(N(Q6)*N(O6)=0,0,Q6*O6)</f>
        <v/>
      </c>
      <c r="S6" s="28">
        <f>R6*N(M6)/100</f>
        <v/>
      </c>
      <c r="T6" s="28">
        <f>R6*N(N6)/100</f>
        <v/>
      </c>
      <c r="V6" s="64" t="inlineStr">
        <is>
          <t>Yes</t>
        </is>
      </c>
      <c r="W6" s="64" t="inlineStr">
        <is>
          <t>Yes</t>
        </is>
      </c>
      <c r="X6" s="64" t="inlineStr">
        <is>
          <t>Altera reference database</t>
        </is>
      </c>
      <c r="Y6" s="64" t="inlineStr">
        <is>
          <t>Altera reference database</t>
        </is>
      </c>
      <c r="Z6" s="64" t="inlineStr">
        <is>
          <t>Altera reference database</t>
        </is>
      </c>
      <c r="AA6" s="64" t="inlineStr">
        <is>
          <t>deduced from the origin of the product · the protein follows its single side</t>
        </is>
      </c>
      <c r="AB6" s="64" t="inlineStr">
        <is>
          <t>A</t>
        </is>
      </c>
      <c r="AC6" s="64" t="n">
        <v>1</v>
      </c>
      <c r="AD6" s="28">
        <f>R6*N(AC6)</f>
        <v/>
      </c>
    </row>
    <row r="7">
      <c r="A7" s="70" t="inlineStr">
        <is>
          <t>3181232220286</t>
        </is>
      </c>
      <c r="B7" s="64" t="inlineStr">
        <is>
          <t>Minced beef patties 5% fat, 2 × 130 g</t>
        </is>
      </c>
      <c r="C7" s="64" t="inlineStr">
        <is>
          <t>Charal</t>
        </is>
      </c>
      <c r="D7" s="64" t="inlineStr">
        <is>
          <t>Butchery</t>
        </is>
      </c>
      <c r="E7" s="64" t="inlineStr">
        <is>
          <t>Minced beef</t>
        </is>
      </c>
      <c r="F7" s="64" t="inlineStr">
        <is>
          <t>FG1</t>
        </is>
      </c>
      <c r="G7" s="64" t="inlineStr">
        <is>
          <t>red_meat</t>
        </is>
      </c>
      <c r="H7" s="64" t="inlineStr">
        <is>
          <t>animal_based</t>
        </is>
      </c>
      <c r="I7" s="64" t="inlineStr">
        <is>
          <t>No</t>
        </is>
      </c>
      <c r="J7" s="64" t="inlineStr">
        <is>
          <t>not applicable</t>
        </is>
      </c>
      <c r="K7" s="64" t="inlineStr">
        <is>
          <t>animal_core</t>
        </is>
      </c>
      <c r="L7" s="64" t="n">
        <v>20</v>
      </c>
      <c r="M7" s="64" t="n">
        <v>0</v>
      </c>
      <c r="N7" s="64" t="n">
        <v>20</v>
      </c>
      <c r="O7" s="64" t="n">
        <v>0.26</v>
      </c>
      <c r="P7" s="64" t="n">
        <v>6</v>
      </c>
      <c r="Q7" s="28">
        <f>IFERROR(VLOOKUP(A7,Welcome!$B$33:$D$62,3,FALSE),0)</f>
        <v/>
      </c>
      <c r="R7" s="28">
        <f>IF(N(Q7)*N(O7)=0,0,Q7*O7)</f>
        <v/>
      </c>
      <c r="S7" s="28">
        <f>R7*N(M7)/100</f>
        <v/>
      </c>
      <c r="T7" s="28">
        <f>R7*N(N7)/100</f>
        <v/>
      </c>
      <c r="V7" s="64" t="inlineStr">
        <is>
          <t>Yes</t>
        </is>
      </c>
      <c r="W7" s="64" t="inlineStr">
        <is>
          <t>Yes</t>
        </is>
      </c>
      <c r="X7" s="64" t="inlineStr">
        <is>
          <t>Altera reference database</t>
        </is>
      </c>
      <c r="Y7" s="64" t="inlineStr">
        <is>
          <t>Altera reference database</t>
        </is>
      </c>
      <c r="Z7" s="64" t="inlineStr">
        <is>
          <t>retailer</t>
        </is>
      </c>
      <c r="AA7" s="64" t="inlineStr">
        <is>
          <t>deduced from the origin of the product · the protein follows its single side</t>
        </is>
      </c>
      <c r="AB7" s="64" t="inlineStr">
        <is>
          <t>A</t>
        </is>
      </c>
      <c r="AC7" s="64" t="n">
        <v>1</v>
      </c>
      <c r="AD7" s="28">
        <f>R7*N(AC7)</f>
        <v/>
      </c>
    </row>
    <row r="8">
      <c r="A8" s="70" t="inlineStr">
        <is>
          <t>3119780259625</t>
        </is>
      </c>
      <c r="B8" s="64" t="inlineStr">
        <is>
          <t>Heineken lager, 33 cl</t>
        </is>
      </c>
      <c r="C8" s="64" t="inlineStr">
        <is>
          <t>Heineken</t>
        </is>
      </c>
      <c r="D8" s="64" t="inlineStr">
        <is>
          <t>Beer &amp; wine</t>
        </is>
      </c>
      <c r="E8" s="64" t="inlineStr">
        <is>
          <t>Beer</t>
        </is>
      </c>
      <c r="F8" s="64" t="inlineStr">
        <is>
          <t>outside WWF scope</t>
        </is>
      </c>
      <c r="G8" s="64" t="inlineStr">
        <is>
          <t>outside WWF scope</t>
        </is>
      </c>
      <c r="H8" s="64" t="inlineStr">
        <is>
          <t>outside WWF scope</t>
        </is>
      </c>
      <c r="I8" s="64" t="inlineStr">
        <is>
          <t>outside WWF scope</t>
        </is>
      </c>
      <c r="J8" s="64" t="inlineStr">
        <is>
          <t>outside WWF scope</t>
        </is>
      </c>
      <c r="K8" s="64" t="inlineStr">
        <is>
          <t>plant_non_core</t>
        </is>
      </c>
      <c r="L8" s="64" t="n">
        <v>0</v>
      </c>
      <c r="M8" s="64" t="n">
        <v>0</v>
      </c>
      <c r="N8" s="64" t="n">
        <v>0</v>
      </c>
      <c r="O8" s="64" t="n">
        <v>0.33</v>
      </c>
      <c r="P8" s="64" t="n">
        <v>7</v>
      </c>
      <c r="Q8" s="28">
        <f>IFERROR(VLOOKUP(A8,Welcome!$B$33:$D$62,3,FALSE),0)</f>
        <v/>
      </c>
      <c r="R8" s="28">
        <f>IF(N(Q8)*N(O8)=0,0,Q8*O8)</f>
        <v/>
      </c>
      <c r="S8" s="28">
        <f>R8*N(M8)/100</f>
        <v/>
      </c>
      <c r="T8" s="28">
        <f>R8*N(N8)/100</f>
        <v/>
      </c>
      <c r="U8" t="inlineStr">
        <is>
          <t>Water, barley malt, hop extracts, alcohol.</t>
        </is>
      </c>
      <c r="V8" s="64" t="inlineStr">
        <is>
          <t>No</t>
        </is>
      </c>
      <c r="W8" s="64" t="inlineStr">
        <is>
          <t>Yes</t>
        </is>
      </c>
      <c r="X8" s="64" t="inlineStr">
        <is>
          <t>outside scope</t>
        </is>
      </c>
      <c r="Y8" s="64" t="inlineStr">
        <is>
          <t>Altera reference database</t>
        </is>
      </c>
      <c r="Z8" s="64" t="inlineStr">
        <is>
          <t>retailer</t>
        </is>
      </c>
      <c r="AA8" s="64" t="inlineStr">
        <is>
          <t>no protein</t>
        </is>
      </c>
      <c r="AB8" s="64" t="inlineStr">
        <is>
          <t>A</t>
        </is>
      </c>
      <c r="AC8" s="64" t="n">
        <v>1</v>
      </c>
      <c r="AD8" s="28">
        <f>R8*N(AC8)</f>
        <v/>
      </c>
    </row>
    <row r="9">
      <c r="A9" s="70" t="inlineStr">
        <is>
          <t>3228857000852</t>
        </is>
      </c>
      <c r="B9" s="64" t="inlineStr">
        <is>
          <t>Crustless white sandwich bread, 500 g</t>
        </is>
      </c>
      <c r="C9" s="64" t="inlineStr">
        <is>
          <t>Harrys</t>
        </is>
      </c>
      <c r="D9" s="64" t="inlineStr">
        <is>
          <t>Bakery</t>
        </is>
      </c>
      <c r="E9" s="64" t="inlineStr">
        <is>
          <t>Sandwich bread</t>
        </is>
      </c>
      <c r="F9" s="64" t="inlineStr">
        <is>
          <t>FG5</t>
        </is>
      </c>
      <c r="G9" s="64" t="inlineStr">
        <is>
          <t>refined_grain</t>
        </is>
      </c>
      <c r="H9" s="64" t="inlineStr">
        <is>
          <t>plant_based</t>
        </is>
      </c>
      <c r="I9" s="64" t="inlineStr">
        <is>
          <t>No</t>
        </is>
      </c>
      <c r="J9" s="64" t="inlineStr">
        <is>
          <t>not applicable</t>
        </is>
      </c>
      <c r="K9" s="64" t="inlineStr">
        <is>
          <t>plant_non_core</t>
        </is>
      </c>
      <c r="L9" s="64" t="n">
        <v>7</v>
      </c>
      <c r="M9" s="64" t="n">
        <v>7</v>
      </c>
      <c r="N9" s="64" t="n">
        <v>0</v>
      </c>
      <c r="O9" s="64" t="n">
        <v>0.5</v>
      </c>
      <c r="P9" s="64" t="n">
        <v>8</v>
      </c>
      <c r="Q9" s="28">
        <f>IFERROR(VLOOKUP(A9,Welcome!$B$33:$D$62,3,FALSE),0)</f>
        <v/>
      </c>
      <c r="R9" s="28">
        <f>IF(N(Q9)*N(O9)=0,0,Q9*O9)</f>
        <v/>
      </c>
      <c r="S9" s="28">
        <f>R9*N(M9)/100</f>
        <v/>
      </c>
      <c r="T9" s="28">
        <f>R9*N(N9)/100</f>
        <v/>
      </c>
      <c r="U9" t="inlineStr">
        <is>
          <t>WHEAT flour 63%, water, sugar, rapeseed oil, salt, vinegar, yeast, broad bean flour, WHEAT gluten, flavouring (contains alcohol), acerola extract. May contain traces of EGG, SOY, MILK, NUTS and SESAME SEEDS.</t>
        </is>
      </c>
      <c r="V9" s="64" t="inlineStr">
        <is>
          <t>Yes</t>
        </is>
      </c>
      <c r="W9" s="64" t="inlineStr">
        <is>
          <t>Yes</t>
        </is>
      </c>
      <c r="X9" s="64" t="n">
        <v>94</v>
      </c>
      <c r="Y9" s="64" t="n">
        <v>94</v>
      </c>
      <c r="Z9" s="64" t="inlineStr">
        <is>
          <t>retailer</t>
        </is>
      </c>
      <c r="AA9" s="64" t="inlineStr">
        <is>
          <t>exact · all ingredients on the same side</t>
        </is>
      </c>
      <c r="AB9" s="64" t="inlineStr">
        <is>
          <t>A</t>
        </is>
      </c>
      <c r="AC9" s="64" t="n">
        <v>1</v>
      </c>
      <c r="AD9" s="28">
        <f>R9*N(AC9)</f>
        <v/>
      </c>
    </row>
    <row r="10">
      <c r="A10" s="70" t="inlineStr">
        <is>
          <t>3033491147067</t>
        </is>
      </c>
      <c r="B10" s="64" t="inlineStr">
        <is>
          <t>Activia natural yogurt, 4 × 125 g</t>
        </is>
      </c>
      <c r="C10" s="64" t="inlineStr">
        <is>
          <t>Activia</t>
        </is>
      </c>
      <c r="D10" s="64" t="inlineStr">
        <is>
          <t>Dairy</t>
        </is>
      </c>
      <c r="E10" s="64" t="inlineStr">
        <is>
          <t>Yoghurts</t>
        </is>
      </c>
      <c r="F10" s="64" t="inlineStr">
        <is>
          <t>FG2</t>
        </is>
      </c>
      <c r="G10" s="64" t="inlineStr">
        <is>
          <t>dairy_animal</t>
        </is>
      </c>
      <c r="H10" s="64" t="inlineStr">
        <is>
          <t>animal_based</t>
        </is>
      </c>
      <c r="I10" s="64" t="inlineStr">
        <is>
          <t>No</t>
        </is>
      </c>
      <c r="J10" s="64" t="inlineStr">
        <is>
          <t>not applicable</t>
        </is>
      </c>
      <c r="K10" s="64" t="inlineStr">
        <is>
          <t>animal_core</t>
        </is>
      </c>
      <c r="L10" s="64" t="n">
        <v>3.4</v>
      </c>
      <c r="M10" s="64" t="n">
        <v>0</v>
      </c>
      <c r="N10" s="64" t="n">
        <v>3.4</v>
      </c>
      <c r="O10" s="64" t="n">
        <v>0.5</v>
      </c>
      <c r="P10" s="64" t="n">
        <v>9</v>
      </c>
      <c r="Q10" s="28">
        <f>IFERROR(VLOOKUP(A10,Welcome!$B$33:$D$62,3,FALSE),0)</f>
        <v/>
      </c>
      <c r="R10" s="28">
        <f>IF(N(Q10)*N(O10)=0,0,Q10*O10)</f>
        <v/>
      </c>
      <c r="S10" s="28">
        <f>R10*N(M10)/100</f>
        <v/>
      </c>
      <c r="T10" s="28">
        <f>R10*N(N10)/100</f>
        <v/>
      </c>
      <c r="U10" t="inlineStr">
        <is>
          <t>Partially skimmed MILK 3.2% fat (98.5%), concentrated or powdered skimmed MILK, cultures (including yogurt cultures and Bifidobacterium (MILK)). MILK: origin France</t>
        </is>
      </c>
      <c r="V10" s="64" t="inlineStr">
        <is>
          <t>Yes</t>
        </is>
      </c>
      <c r="W10" s="64" t="inlineStr">
        <is>
          <t>Yes</t>
        </is>
      </c>
      <c r="X10" s="64" t="inlineStr">
        <is>
          <t>Altera reference database</t>
        </is>
      </c>
      <c r="Y10" s="64" t="inlineStr">
        <is>
          <t>Altera reference database</t>
        </is>
      </c>
      <c r="Z10" s="64" t="inlineStr">
        <is>
          <t>retailer</t>
        </is>
      </c>
      <c r="AA10" s="64" t="inlineStr">
        <is>
          <t>exact · all ingredients on the same side</t>
        </is>
      </c>
      <c r="AB10" s="64" t="inlineStr">
        <is>
          <t>A</t>
        </is>
      </c>
      <c r="AC10" s="64" t="n">
        <v>1</v>
      </c>
      <c r="AD10" s="28">
        <f>R10*N(AC10)</f>
        <v/>
      </c>
    </row>
    <row r="11">
      <c r="A11" s="70" t="inlineStr">
        <is>
          <t>3266980891411</t>
        </is>
      </c>
      <c r="B11" s="64" t="inlineStr">
        <is>
          <t>Chicken breast fillets, 300 g</t>
        </is>
      </c>
      <c r="C11" s="64" t="inlineStr">
        <is>
          <t>Le Gaulois</t>
        </is>
      </c>
      <c r="D11" s="64" t="inlineStr">
        <is>
          <t>Poultry</t>
        </is>
      </c>
      <c r="E11" s="64" t="inlineStr">
        <is>
          <t>Chicken</t>
        </is>
      </c>
      <c r="F11" s="64" t="inlineStr">
        <is>
          <t>FG1</t>
        </is>
      </c>
      <c r="G11" s="64" t="inlineStr">
        <is>
          <t>poultry</t>
        </is>
      </c>
      <c r="H11" s="64" t="inlineStr">
        <is>
          <t>animal_based</t>
        </is>
      </c>
      <c r="I11" s="64" t="inlineStr">
        <is>
          <t>No</t>
        </is>
      </c>
      <c r="J11" s="64" t="inlineStr">
        <is>
          <t>not applicable</t>
        </is>
      </c>
      <c r="K11" s="64" t="inlineStr">
        <is>
          <t>animal_core</t>
        </is>
      </c>
      <c r="L11" s="64" t="n">
        <v>23</v>
      </c>
      <c r="M11" s="64" t="n">
        <v>0</v>
      </c>
      <c r="N11" s="64" t="n">
        <v>23</v>
      </c>
      <c r="O11" s="64" t="n">
        <v>0.3</v>
      </c>
      <c r="P11" s="64" t="n">
        <v>10</v>
      </c>
      <c r="Q11" s="28">
        <f>IFERROR(VLOOKUP(A11,Welcome!$B$33:$D$62,3,FALSE),0)</f>
        <v/>
      </c>
      <c r="R11" s="28">
        <f>IF(N(Q11)*N(O11)=0,0,Q11*O11)</f>
        <v/>
      </c>
      <c r="S11" s="28">
        <f>R11*N(M11)/100</f>
        <v/>
      </c>
      <c r="T11" s="28">
        <f>R11*N(N11)/100</f>
        <v/>
      </c>
      <c r="V11" s="64" t="inlineStr">
        <is>
          <t>Yes</t>
        </is>
      </c>
      <c r="W11" s="64" t="inlineStr">
        <is>
          <t>Yes</t>
        </is>
      </c>
      <c r="X11" s="64" t="inlineStr">
        <is>
          <t>Altera reference database</t>
        </is>
      </c>
      <c r="Y11" s="64" t="inlineStr">
        <is>
          <t>Altera reference database</t>
        </is>
      </c>
      <c r="Z11" s="64" t="inlineStr">
        <is>
          <t>retailer</t>
        </is>
      </c>
      <c r="AA11" s="64" t="inlineStr">
        <is>
          <t>deduced from the origin of the product · the protein follows its single side</t>
        </is>
      </c>
      <c r="AB11" s="64" t="inlineStr">
        <is>
          <t>A</t>
        </is>
      </c>
      <c r="AC11" s="64" t="n">
        <v>1</v>
      </c>
      <c r="AD11" s="28">
        <f>R11*N(AC11)</f>
        <v/>
      </c>
    </row>
    <row r="12">
      <c r="A12" s="70" t="inlineStr">
        <is>
          <t>3017620422003</t>
        </is>
      </c>
      <c r="B12" s="64" t="inlineStr">
        <is>
          <t>Nutella hazelnut spread, 400 g</t>
        </is>
      </c>
      <c r="C12" s="64" t="inlineStr">
        <is>
          <t>Nutella</t>
        </is>
      </c>
      <c r="D12" s="64" t="inlineStr">
        <is>
          <t>Breakfast</t>
        </is>
      </c>
      <c r="E12" s="64" t="inlineStr">
        <is>
          <t>Spreads</t>
        </is>
      </c>
      <c r="F12" s="64" t="inlineStr">
        <is>
          <t>FG7</t>
        </is>
      </c>
      <c r="G12" s="64" t="inlineStr">
        <is>
          <t>not applicable</t>
        </is>
      </c>
      <c r="H12" s="64" t="inlineStr">
        <is>
          <t>animal_based</t>
        </is>
      </c>
      <c r="I12" s="64" t="inlineStr">
        <is>
          <t>No</t>
        </is>
      </c>
      <c r="J12" s="64" t="inlineStr">
        <is>
          <t>not applicable</t>
        </is>
      </c>
      <c r="K12" s="64" t="inlineStr">
        <is>
          <t>animal-plant-based composite</t>
        </is>
      </c>
      <c r="L12" s="64" t="n">
        <v>6.3</v>
      </c>
      <c r="M12" s="64" t="n">
        <v>3.53</v>
      </c>
      <c r="N12" s="64" t="n">
        <v>2.77</v>
      </c>
      <c r="O12" s="64" t="n">
        <v>0.4</v>
      </c>
      <c r="P12" s="64" t="n">
        <v>11</v>
      </c>
      <c r="Q12" s="28">
        <f>IFERROR(VLOOKUP(A12,Welcome!$B$33:$D$62,3,FALSE),0)</f>
        <v/>
      </c>
      <c r="R12" s="28">
        <f>IF(N(Q12)*N(O12)=0,0,Q12*O12)</f>
        <v/>
      </c>
      <c r="S12" s="28">
        <f>R12*N(M12)/100</f>
        <v/>
      </c>
      <c r="T12" s="28">
        <f>R12*N(N12)/100</f>
        <v/>
      </c>
      <c r="U12" t="inlineStr">
        <is>
          <t>Sugar, palm oil, HAZELNUTS 13%, fat-reduced cocoa 7.4%, skimmed MILK powder 6.6%, WHEY powder, emulsifiers: lecithins (SOY), vanillin. Gluten free.</t>
        </is>
      </c>
      <c r="V12" s="64" t="inlineStr">
        <is>
          <t>Yes</t>
        </is>
      </c>
      <c r="W12" s="64" t="inlineStr">
        <is>
          <t>Yes</t>
        </is>
      </c>
      <c r="X12" s="64" t="inlineStr">
        <is>
          <t>Altera reference database</t>
        </is>
      </c>
      <c r="Y12" s="64" t="inlineStr">
        <is>
          <t>Altera reference database</t>
        </is>
      </c>
      <c r="Z12" s="64" t="inlineStr">
        <is>
          <t>retailer</t>
        </is>
      </c>
      <c r="AA12" s="64" t="inlineStr">
        <is>
          <t>exact · percentages declared in the ingredient list</t>
        </is>
      </c>
      <c r="AB12" s="64" t="inlineStr">
        <is>
          <t>A</t>
        </is>
      </c>
      <c r="AC12" s="64" t="n">
        <v>1</v>
      </c>
      <c r="AD12" s="28">
        <f>R12*N(AC12)</f>
        <v/>
      </c>
    </row>
    <row r="13">
      <c r="A13" s="70" t="inlineStr">
        <is>
          <t>3412290015980</t>
        </is>
      </c>
      <c r="B13" s="64" t="inlineStr">
        <is>
          <t>Unsalted butter, 250 g</t>
        </is>
      </c>
      <c r="C13" s="64" t="inlineStr">
        <is>
          <t>Paysan Breton</t>
        </is>
      </c>
      <c r="D13" s="64" t="inlineStr">
        <is>
          <t>Dairy</t>
        </is>
      </c>
      <c r="E13" s="64" t="inlineStr">
        <is>
          <t>Butter</t>
        </is>
      </c>
      <c r="F13" s="64" t="inlineStr">
        <is>
          <t>FG3</t>
        </is>
      </c>
      <c r="G13" s="64" t="inlineStr">
        <is>
          <t>animal_based_fat</t>
        </is>
      </c>
      <c r="H13" s="64" t="inlineStr">
        <is>
          <t>animal_based</t>
        </is>
      </c>
      <c r="I13" s="64" t="inlineStr">
        <is>
          <t>No</t>
        </is>
      </c>
      <c r="J13" s="64" t="inlineStr">
        <is>
          <t>not applicable</t>
        </is>
      </c>
      <c r="K13" s="64" t="inlineStr">
        <is>
          <t>animal_core</t>
        </is>
      </c>
      <c r="L13" s="64" t="n">
        <v>0.8</v>
      </c>
      <c r="M13" s="64" t="n">
        <v>0</v>
      </c>
      <c r="N13" s="64" t="n">
        <v>0.8</v>
      </c>
      <c r="O13" s="64" t="n">
        <v>0.25</v>
      </c>
      <c r="P13" s="64" t="n">
        <v>12</v>
      </c>
      <c r="Q13" s="28">
        <f>IFERROR(VLOOKUP(A13,Welcome!$B$33:$D$62,3,FALSE),0)</f>
        <v/>
      </c>
      <c r="R13" s="28">
        <f>IF(N(Q13)*N(O13)=0,0,Q13*O13)</f>
        <v/>
      </c>
      <c r="S13" s="28">
        <f>R13*N(M13)/100</f>
        <v/>
      </c>
      <c r="T13" s="28">
        <f>R13*N(N13)/100</f>
        <v/>
      </c>
      <c r="V13" s="64" t="inlineStr">
        <is>
          <t>Yes</t>
        </is>
      </c>
      <c r="W13" s="64" t="inlineStr">
        <is>
          <t>Yes</t>
        </is>
      </c>
      <c r="X13" s="64" t="inlineStr">
        <is>
          <t>Altera reference database</t>
        </is>
      </c>
      <c r="Y13" s="64" t="inlineStr">
        <is>
          <t>Altera reference database</t>
        </is>
      </c>
      <c r="Z13" s="64" t="inlineStr">
        <is>
          <t>retailer</t>
        </is>
      </c>
      <c r="AA13" s="64" t="inlineStr">
        <is>
          <t>deduced from the origin of the product · the protein follows its single side</t>
        </is>
      </c>
      <c r="AB13" s="64" t="inlineStr">
        <is>
          <t>A</t>
        </is>
      </c>
      <c r="AC13" s="64" t="n">
        <v>1</v>
      </c>
      <c r="AD13" s="28">
        <f>R13*N(AC13)</f>
        <v/>
      </c>
    </row>
    <row r="14">
      <c r="A14" s="70" t="inlineStr">
        <is>
          <t>3228021170039</t>
        </is>
      </c>
      <c r="B14" s="64" t="inlineStr">
        <is>
          <t>Camembert, 250 g</t>
        </is>
      </c>
      <c r="C14" s="64" t="inlineStr">
        <is>
          <t>Président</t>
        </is>
      </c>
      <c r="D14" s="64" t="inlineStr">
        <is>
          <t>Cheese</t>
        </is>
      </c>
      <c r="E14" s="64" t="inlineStr">
        <is>
          <t>Soft cheese</t>
        </is>
      </c>
      <c r="F14" s="64" t="inlineStr">
        <is>
          <t>FG2</t>
        </is>
      </c>
      <c r="G14" s="64" t="inlineStr">
        <is>
          <t>dairy_animal</t>
        </is>
      </c>
      <c r="H14" s="64" t="inlineStr">
        <is>
          <t>animal_based</t>
        </is>
      </c>
      <c r="I14" s="64" t="inlineStr">
        <is>
          <t>No</t>
        </is>
      </c>
      <c r="J14" s="64" t="inlineStr">
        <is>
          <t>not applicable</t>
        </is>
      </c>
      <c r="K14" s="64" t="inlineStr">
        <is>
          <t>animal_core</t>
        </is>
      </c>
      <c r="L14" s="64" t="n">
        <v>20</v>
      </c>
      <c r="M14" s="64" t="n">
        <v>0</v>
      </c>
      <c r="N14" s="64" t="n">
        <v>20</v>
      </c>
      <c r="O14" s="64" t="n">
        <v>0.25</v>
      </c>
      <c r="P14" s="64" t="n">
        <v>13</v>
      </c>
      <c r="Q14" s="28">
        <f>IFERROR(VLOOKUP(A14,Welcome!$B$33:$D$62,3,FALSE),0)</f>
        <v/>
      </c>
      <c r="R14" s="28">
        <f>IF(N(Q14)*N(O14)=0,0,Q14*O14)</f>
        <v/>
      </c>
      <c r="S14" s="28">
        <f>R14*N(M14)/100</f>
        <v/>
      </c>
      <c r="T14" s="28">
        <f>R14*N(N14)/100</f>
        <v/>
      </c>
      <c r="V14" s="64" t="inlineStr">
        <is>
          <t>Yes</t>
        </is>
      </c>
      <c r="W14" s="64" t="inlineStr">
        <is>
          <t>Yes</t>
        </is>
      </c>
      <c r="X14" s="64" t="n">
        <v>97</v>
      </c>
      <c r="Y14" s="64" t="n">
        <v>97</v>
      </c>
      <c r="Z14" s="64" t="inlineStr">
        <is>
          <t>retailer</t>
        </is>
      </c>
      <c r="AA14" s="64" t="inlineStr">
        <is>
          <t>deduced from the origin of the product · the protein follows its single side</t>
        </is>
      </c>
      <c r="AB14" s="64" t="inlineStr">
        <is>
          <t>A</t>
        </is>
      </c>
      <c r="AC14" s="64" t="n">
        <v>10</v>
      </c>
      <c r="AD14" s="28">
        <f>R14*N(AC14)</f>
        <v/>
      </c>
    </row>
    <row r="15">
      <c r="A15" s="70" t="inlineStr">
        <is>
          <t>5053990155354</t>
        </is>
      </c>
      <c r="B15" s="64" t="inlineStr">
        <is>
          <t>Pringles Sour Cream &amp; Onion, 175 g</t>
        </is>
      </c>
      <c r="C15" s="64" t="inlineStr">
        <is>
          <t>Pringles</t>
        </is>
      </c>
      <c r="D15" s="64" t="inlineStr">
        <is>
          <t>Snacks</t>
        </is>
      </c>
      <c r="E15" s="64" t="inlineStr">
        <is>
          <t>Crisps</t>
        </is>
      </c>
      <c r="F15" s="64" t="inlineStr">
        <is>
          <t>FG7</t>
        </is>
      </c>
      <c r="G15" s="64" t="inlineStr">
        <is>
          <t>not applicable</t>
        </is>
      </c>
      <c r="H15" s="64" t="inlineStr">
        <is>
          <t>animal_based</t>
        </is>
      </c>
      <c r="I15" s="64" t="inlineStr">
        <is>
          <t>No</t>
        </is>
      </c>
      <c r="J15" s="64" t="inlineStr">
        <is>
          <t>not applicable</t>
        </is>
      </c>
      <c r="K15" s="64" t="inlineStr">
        <is>
          <t>animal-plant-based composite</t>
        </is>
      </c>
      <c r="L15" s="64" t="n">
        <v>6</v>
      </c>
      <c r="M15" s="64" t="n">
        <v>5.52</v>
      </c>
      <c r="N15" s="64" t="n">
        <v>0.48</v>
      </c>
      <c r="O15" s="64" t="n">
        <v>0.175</v>
      </c>
      <c r="P15" s="64" t="n">
        <v>14</v>
      </c>
      <c r="Q15" s="28">
        <f>IFERROR(VLOOKUP(A15,Welcome!$B$33:$D$62,3,FALSE),0)</f>
        <v/>
      </c>
      <c r="R15" s="28">
        <f>IF(N(Q15)*N(O15)=0,0,Q15*O15)</f>
        <v/>
      </c>
      <c r="S15" s="28">
        <f>R15*N(M15)/100</f>
        <v/>
      </c>
      <c r="T15" s="28">
        <f>R15*N(N15)/100</f>
        <v/>
      </c>
      <c r="U15" t="inlineStr">
        <is>
          <t>Dehydrated potatoes, vegetable oils (sunflower, maize), rice flour, WHEAT starch, maize flour, sour cream and onion seasoning (WHEAT starch, flavour enhancers {monosodium glutamate, disodium guanylate, disodium inosinate}, onion powder, maltodextrin, salt, dextrose, sugar, sweet whey powder {MILK}, potato starch, modified maize starch, acids {citric acid, lactic acid, malic acid}, sour cream powder {MILK}, flavourings {MILK}, yeast extract, glucose syrup, MILK protein, rice flour), emulsifier (E471), maltodextrin, salt, colour (annatto).</t>
        </is>
      </c>
      <c r="V15" s="64" t="inlineStr">
        <is>
          <t>Yes</t>
        </is>
      </c>
      <c r="W15" s="64" t="inlineStr">
        <is>
          <t>Yes</t>
        </is>
      </c>
      <c r="X15" s="64" t="n">
        <v>93</v>
      </c>
      <c r="Y15" s="64" t="n">
        <v>93</v>
      </c>
      <c r="Z15" s="64" t="inlineStr">
        <is>
          <t>OpenFoodFacts</t>
        </is>
      </c>
      <c r="AA15" s="64" t="inlineStr">
        <is>
          <t>NEVO · plant and animal protein of the matched food (Chips, gearomatiseerd)</t>
        </is>
      </c>
      <c r="AB15" s="64" t="inlineStr">
        <is>
          <t>A</t>
        </is>
      </c>
      <c r="AC15" s="64" t="n">
        <v>1</v>
      </c>
      <c r="AD15" s="28">
        <f>R15*N(AC15)</f>
        <v/>
      </c>
    </row>
    <row r="16">
      <c r="A16" s="70" t="inlineStr">
        <is>
          <t>3168930167983</t>
        </is>
      </c>
      <c r="B16" s="64" t="inlineStr">
        <is>
          <t>Ready salted crisps, 155 g</t>
        </is>
      </c>
      <c r="C16" s="64" t="inlineStr">
        <is>
          <t>Lay's</t>
        </is>
      </c>
      <c r="D16" s="64" t="inlineStr">
        <is>
          <t>Snacks</t>
        </is>
      </c>
      <c r="E16" s="64" t="inlineStr">
        <is>
          <t>Crisps</t>
        </is>
      </c>
      <c r="F16" s="64" t="inlineStr">
        <is>
          <t>FG7</t>
        </is>
      </c>
      <c r="G16" s="64" t="inlineStr">
        <is>
          <t>not applicable</t>
        </is>
      </c>
      <c r="H16" s="64" t="inlineStr">
        <is>
          <t>plant_based</t>
        </is>
      </c>
      <c r="I16" s="64" t="inlineStr">
        <is>
          <t>No</t>
        </is>
      </c>
      <c r="J16" s="64" t="inlineStr">
        <is>
          <t>not applicable</t>
        </is>
      </c>
      <c r="K16" s="64" t="inlineStr">
        <is>
          <t>plant_non_core</t>
        </is>
      </c>
      <c r="L16" s="64" t="n">
        <v>5.7</v>
      </c>
      <c r="M16" s="64" t="n">
        <v>5.7</v>
      </c>
      <c r="N16" s="64" t="n">
        <v>0</v>
      </c>
      <c r="O16" s="64" t="n">
        <v>0.155</v>
      </c>
      <c r="P16" s="64" t="n">
        <v>15</v>
      </c>
      <c r="Q16" s="28">
        <f>IFERROR(VLOOKUP(A16,Welcome!$B$33:$D$62,3,FALSE),0)</f>
        <v/>
      </c>
      <c r="R16" s="28">
        <f>IF(N(Q16)*N(O16)=0,0,Q16*O16)</f>
        <v/>
      </c>
      <c r="S16" s="28">
        <f>R16*N(M16)/100</f>
        <v/>
      </c>
      <c r="T16" s="28">
        <f>R16*N(N16)/100</f>
        <v/>
      </c>
      <c r="U16" t="inlineStr">
        <is>
          <t>Potatoes (66%), vegetable oils (sunflower, rapeseed, maize in varying proportions), salt</t>
        </is>
      </c>
      <c r="V16" s="64" t="inlineStr">
        <is>
          <t>Yes</t>
        </is>
      </c>
      <c r="W16" s="64" t="inlineStr">
        <is>
          <t>Yes</t>
        </is>
      </c>
      <c r="X16" s="64" t="n">
        <v>97</v>
      </c>
      <c r="Y16" s="64" t="n">
        <v>97</v>
      </c>
      <c r="Z16" s="64" t="inlineStr">
        <is>
          <t>retailer</t>
        </is>
      </c>
      <c r="AA16" s="64" t="inlineStr">
        <is>
          <t>exact · all ingredients on the same side</t>
        </is>
      </c>
      <c r="AB16" s="64" t="inlineStr">
        <is>
          <t>A</t>
        </is>
      </c>
      <c r="AC16" s="64" t="n">
        <v>1</v>
      </c>
      <c r="AD16" s="28">
        <f>R16*N(AC16)</f>
        <v/>
      </c>
    </row>
    <row r="17">
      <c r="A17" s="70" t="inlineStr">
        <is>
          <t>3019081239237</t>
        </is>
      </c>
      <c r="B17" s="64" t="inlineStr">
        <is>
          <t>Whole tuna in brine, 160 g</t>
        </is>
      </c>
      <c r="C17" s="64" t="inlineStr">
        <is>
          <t>Petit Navire</t>
        </is>
      </c>
      <c r="D17" s="64" t="inlineStr">
        <is>
          <t>Grocery</t>
        </is>
      </c>
      <c r="E17" s="64" t="inlineStr">
        <is>
          <t>Canned fish</t>
        </is>
      </c>
      <c r="F17" s="64" t="inlineStr">
        <is>
          <t>FG1</t>
        </is>
      </c>
      <c r="G17" s="64" t="inlineStr">
        <is>
          <t>seafood</t>
        </is>
      </c>
      <c r="H17" s="64" t="inlineStr">
        <is>
          <t>animal_based</t>
        </is>
      </c>
      <c r="I17" s="64" t="inlineStr">
        <is>
          <t>No</t>
        </is>
      </c>
      <c r="J17" s="64" t="inlineStr">
        <is>
          <t>not applicable</t>
        </is>
      </c>
      <c r="K17" s="64" t="inlineStr">
        <is>
          <t>animal_core</t>
        </is>
      </c>
      <c r="L17" s="64" t="n">
        <v>25</v>
      </c>
      <c r="M17" s="64" t="n">
        <v>0</v>
      </c>
      <c r="N17" s="64" t="n">
        <v>25</v>
      </c>
      <c r="O17" s="64" t="n">
        <v>0.16</v>
      </c>
      <c r="P17" s="64" t="n">
        <v>16</v>
      </c>
      <c r="Q17" s="28">
        <f>IFERROR(VLOOKUP(A17,Welcome!$B$33:$D$62,3,FALSE),0)</f>
        <v/>
      </c>
      <c r="R17" s="28">
        <f>IF(N(Q17)*N(O17)=0,0,Q17*O17)</f>
        <v/>
      </c>
      <c r="S17" s="28">
        <f>R17*N(M17)/100</f>
        <v/>
      </c>
      <c r="T17" s="28">
        <f>R17*N(N17)/100</f>
        <v/>
      </c>
      <c r="V17" s="64" t="inlineStr">
        <is>
          <t>Yes</t>
        </is>
      </c>
      <c r="W17" s="64" t="inlineStr">
        <is>
          <t>Yes</t>
        </is>
      </c>
      <c r="X17" s="64" t="n">
        <v>97</v>
      </c>
      <c r="Y17" s="64" t="n">
        <v>97</v>
      </c>
      <c r="Z17" s="64" t="inlineStr">
        <is>
          <t>retailer</t>
        </is>
      </c>
      <c r="AA17" s="64" t="inlineStr">
        <is>
          <t>deduced from the origin of the product · the protein follows its single side</t>
        </is>
      </c>
      <c r="AB17" s="64" t="inlineStr">
        <is>
          <t>A</t>
        </is>
      </c>
      <c r="AC17" s="64" t="n">
        <v>1</v>
      </c>
      <c r="AD17" s="28">
        <f>R17*N(AC17)</f>
        <v/>
      </c>
    </row>
    <row r="18">
      <c r="A18" s="70" t="inlineStr">
        <is>
          <t>8005110860508</t>
        </is>
      </c>
      <c r="B18" s="64" t="inlineStr">
        <is>
          <t>Passata di pomodoro, sieved tomatoes, 500 g</t>
        </is>
      </c>
      <c r="C18" s="64" t="inlineStr">
        <is>
          <t>Mutti</t>
        </is>
      </c>
      <c r="D18" s="64" t="inlineStr">
        <is>
          <t>Grocery</t>
        </is>
      </c>
      <c r="E18" s="64" t="inlineStr">
        <is>
          <t>Tomato sauces</t>
        </is>
      </c>
      <c r="F18" s="64" t="inlineStr">
        <is>
          <t>FG4</t>
        </is>
      </c>
      <c r="G18" s="64" t="inlineStr">
        <is>
          <t>not applicable</t>
        </is>
      </c>
      <c r="H18" s="64" t="inlineStr">
        <is>
          <t>plant_based</t>
        </is>
      </c>
      <c r="I18" s="64" t="inlineStr">
        <is>
          <t>No</t>
        </is>
      </c>
      <c r="J18" s="64" t="inlineStr">
        <is>
          <t>not applicable</t>
        </is>
      </c>
      <c r="K18" s="64" t="inlineStr">
        <is>
          <t>plant_non_core</t>
        </is>
      </c>
      <c r="L18" s="64" t="n">
        <v>1.6</v>
      </c>
      <c r="M18" s="64" t="n">
        <v>1.6</v>
      </c>
      <c r="N18" s="64" t="n">
        <v>0</v>
      </c>
      <c r="O18" s="64" t="n">
        <v>0.5</v>
      </c>
      <c r="P18" s="64" t="n">
        <v>17</v>
      </c>
      <c r="Q18" s="28">
        <f>IFERROR(VLOOKUP(A18,Welcome!$B$33:$D$62,3,FALSE),0)</f>
        <v/>
      </c>
      <c r="R18" s="28">
        <f>IF(N(Q18)*N(O18)=0,0,Q18*O18)</f>
        <v/>
      </c>
      <c r="S18" s="28">
        <f>R18*N(M18)/100</f>
        <v/>
      </c>
      <c r="T18" s="28">
        <f>R18*N(N18)/100</f>
        <v/>
      </c>
      <c r="U18" t="inlineStr">
        <is>
          <t>Tomatoes 99.5%, salt</t>
        </is>
      </c>
      <c r="V18" s="64" t="inlineStr">
        <is>
          <t>Yes</t>
        </is>
      </c>
      <c r="W18" s="64" t="inlineStr">
        <is>
          <t>Yes</t>
        </is>
      </c>
      <c r="X18" s="64" t="n">
        <v>96</v>
      </c>
      <c r="Y18" s="64" t="n">
        <v>96</v>
      </c>
      <c r="Z18" s="64" t="inlineStr">
        <is>
          <t>retailer</t>
        </is>
      </c>
      <c r="AA18" s="64" t="inlineStr">
        <is>
          <t>exact · all ingredients on the same side</t>
        </is>
      </c>
      <c r="AB18" s="64" t="inlineStr">
        <is>
          <t>A</t>
        </is>
      </c>
      <c r="AC18" s="64" t="n">
        <v>1</v>
      </c>
      <c r="AD18" s="28">
        <f>R18*N(AC18)</f>
        <v/>
      </c>
    </row>
    <row r="19">
      <c r="A19" s="70" t="inlineStr">
        <is>
          <t>3017800078662</t>
        </is>
      </c>
      <c r="B19" s="64" t="inlineStr">
        <is>
          <t>Extra fine garden peas, 280 g</t>
        </is>
      </c>
      <c r="C19" s="64" t="inlineStr">
        <is>
          <t>D'aucy</t>
        </is>
      </c>
      <c r="D19" s="64" t="inlineStr">
        <is>
          <t>Grocery</t>
        </is>
      </c>
      <c r="E19" s="64" t="inlineStr">
        <is>
          <t>Canned vegetables</t>
        </is>
      </c>
      <c r="F19" s="64" t="inlineStr">
        <is>
          <t>FG1</t>
        </is>
      </c>
      <c r="G19" s="64" t="inlineStr">
        <is>
          <t>legumes</t>
        </is>
      </c>
      <c r="H19" s="64" t="inlineStr">
        <is>
          <t>plant_based</t>
        </is>
      </c>
      <c r="I19" s="64" t="inlineStr">
        <is>
          <t>No</t>
        </is>
      </c>
      <c r="J19" s="64" t="inlineStr">
        <is>
          <t>not applicable</t>
        </is>
      </c>
      <c r="K19" s="64" t="inlineStr">
        <is>
          <t>plant_core</t>
        </is>
      </c>
      <c r="L19" s="64" t="n">
        <v>5</v>
      </c>
      <c r="M19" s="64" t="n">
        <v>5</v>
      </c>
      <c r="N19" s="64" t="n">
        <v>0</v>
      </c>
      <c r="O19" s="64" t="n">
        <v>0.28</v>
      </c>
      <c r="P19" s="64" t="n">
        <v>18</v>
      </c>
      <c r="Q19" s="28">
        <f>IFERROR(VLOOKUP(A19,Welcome!$B$33:$D$62,3,FALSE),0)</f>
        <v/>
      </c>
      <c r="R19" s="28">
        <f>IF(N(Q19)*N(O19)=0,0,Q19*O19)</f>
        <v/>
      </c>
      <c r="S19" s="28">
        <f>R19*N(M19)/100</f>
        <v/>
      </c>
      <c r="T19" s="28">
        <f>R19*N(N19)/100</f>
        <v/>
      </c>
      <c r="V19" s="64" t="inlineStr">
        <is>
          <t>Yes</t>
        </is>
      </c>
      <c r="W19" s="64" t="inlineStr">
        <is>
          <t>Yes</t>
        </is>
      </c>
      <c r="X19" s="64" t="n">
        <v>93</v>
      </c>
      <c r="Y19" s="64" t="n">
        <v>93</v>
      </c>
      <c r="Z19" s="64" t="inlineStr">
        <is>
          <t>CIQUAL</t>
        </is>
      </c>
      <c r="AA19" s="64" t="inlineStr">
        <is>
          <t>deduced from the origin of the product · the protein follows its single side</t>
        </is>
      </c>
      <c r="AB19" s="64" t="inlineStr">
        <is>
          <t>A</t>
        </is>
      </c>
      <c r="AC19" s="64" t="n">
        <v>1</v>
      </c>
      <c r="AD19" s="28">
        <f>R19*N(AC19)</f>
        <v/>
      </c>
    </row>
    <row r="20">
      <c r="A20" s="70" t="inlineStr">
        <is>
          <t>7613034223852</t>
        </is>
      </c>
      <c r="B20" s="64" t="inlineStr">
        <is>
          <t>Fraîch'Up four-cheese pizza, 600 g</t>
        </is>
      </c>
      <c r="C20" s="64" t="inlineStr">
        <is>
          <t>Buitoni</t>
        </is>
      </c>
      <c r="D20" s="64" t="inlineStr">
        <is>
          <t>Frozen</t>
        </is>
      </c>
      <c r="E20" s="64" t="inlineStr">
        <is>
          <t>Pizzas</t>
        </is>
      </c>
      <c r="F20" s="64" t="inlineStr">
        <is>
          <t>not applicable</t>
        </is>
      </c>
      <c r="G20" s="64" t="inlineStr">
        <is>
          <t>not applicable</t>
        </is>
      </c>
      <c r="H20" s="64" t="inlineStr">
        <is>
          <t>not applicable</t>
        </is>
      </c>
      <c r="I20" s="64" t="inlineStr">
        <is>
          <t>Yes</t>
        </is>
      </c>
      <c r="J20" s="64" t="inlineStr">
        <is>
          <t>vegetarian</t>
        </is>
      </c>
      <c r="K20" s="64" t="inlineStr">
        <is>
          <t>animal-plant-based composite</t>
        </is>
      </c>
      <c r="L20" s="64" t="n">
        <v>11.8</v>
      </c>
      <c r="M20" s="64" t="n">
        <v>5.9</v>
      </c>
      <c r="N20" s="64" t="n">
        <v>5.9</v>
      </c>
      <c r="O20" s="64" t="n">
        <v>0.6</v>
      </c>
      <c r="P20" s="64" t="n">
        <v>19</v>
      </c>
      <c r="Q20" s="28">
        <f>IFERROR(VLOOKUP(A20,Welcome!$B$33:$D$62,3,FALSE),0)</f>
        <v/>
      </c>
      <c r="R20" s="28">
        <f>IF(N(Q20)*N(O20)=0,0,Q20*O20)</f>
        <v/>
      </c>
      <c r="S20" s="28">
        <f>R20*N(M20)/100</f>
        <v/>
      </c>
      <c r="T20" s="28">
        <f>R20*N(N20)/100</f>
        <v/>
      </c>
      <c r="V20" s="64" t="inlineStr">
        <is>
          <t>Yes</t>
        </is>
      </c>
      <c r="W20" s="64" t="inlineStr">
        <is>
          <t>Yes</t>
        </is>
      </c>
      <c r="X20" s="64" t="n">
        <v>88</v>
      </c>
      <c r="Y20" s="64" t="n">
        <v>88</v>
      </c>
      <c r="Z20" s="64" t="inlineStr">
        <is>
          <t>OpenFoodFacts</t>
        </is>
      </c>
      <c r="AA20" s="64" t="inlineStr">
        <is>
          <t>50/50 by convention · not deducible from the ingredients</t>
        </is>
      </c>
      <c r="AB20" s="64" t="inlineStr">
        <is>
          <t>B</t>
        </is>
      </c>
      <c r="AC20" s="64" t="n">
        <v>1</v>
      </c>
      <c r="AD20" s="28">
        <f>R20*N(AC20)</f>
        <v/>
      </c>
    </row>
    <row r="21" ht="15.75" customHeight="1" s="67">
      <c r="A21" s="70" t="inlineStr">
        <is>
          <t>7322540819342</t>
        </is>
      </c>
      <c r="B21" s="64" t="inlineStr">
        <is>
          <t>Aqua Tube toilet tissue, 12 rolls</t>
        </is>
      </c>
      <c r="C21" s="64" t="inlineStr">
        <is>
          <t>Lotus</t>
        </is>
      </c>
      <c r="D21" s="64" t="inlineStr">
        <is>
          <t>Household</t>
        </is>
      </c>
      <c r="E21" s="64" t="inlineStr">
        <is>
          <t>Paper</t>
        </is>
      </c>
      <c r="F21" s="64" t="inlineStr">
        <is>
          <t>outside WWF scope</t>
        </is>
      </c>
      <c r="G21" s="64" t="inlineStr">
        <is>
          <t>outside WWF scope</t>
        </is>
      </c>
      <c r="H21" s="64" t="inlineStr">
        <is>
          <t>outside WWF scope</t>
        </is>
      </c>
      <c r="I21" s="64" t="inlineStr">
        <is>
          <t>outside WWF scope</t>
        </is>
      </c>
      <c r="J21" s="64" t="inlineStr">
        <is>
          <t>outside WWF scope</t>
        </is>
      </c>
      <c r="K21" s="64" t="inlineStr">
        <is>
          <t>outside scope · non-food</t>
        </is>
      </c>
      <c r="L21" s="64" t="n"/>
      <c r="M21" s="64" t="n"/>
      <c r="N21" s="64" t="n"/>
      <c r="O21" s="64" t="n"/>
      <c r="P21" s="64" t="n">
        <v>20</v>
      </c>
      <c r="Q21" s="28">
        <f>IFERROR(VLOOKUP(A21,Welcome!$B$33:$D$62,3,FALSE),0)</f>
        <v/>
      </c>
      <c r="R21" s="28">
        <f>IF(N(Q21)*N(O21)=0,0,Q21*O21)</f>
        <v/>
      </c>
      <c r="S21" s="28">
        <f>R21*N(M21)/100</f>
        <v/>
      </c>
      <c r="T21" s="28">
        <f>R21*N(N21)/100</f>
        <v/>
      </c>
      <c r="V21" s="64" t="inlineStr">
        <is>
          <t>No</t>
        </is>
      </c>
      <c r="W21" s="64" t="inlineStr">
        <is>
          <t>No</t>
        </is>
      </c>
      <c r="X21" s="64" t="inlineStr">
        <is>
          <t>outside scope</t>
        </is>
      </c>
      <c r="Y21" s="64" t="inlineStr">
        <is>
          <t>outside scope</t>
        </is>
      </c>
      <c r="Z21" s="64" t="inlineStr">
        <is>
          <t>outside scope</t>
        </is>
      </c>
      <c r="AA21" s="64" t="inlineStr">
        <is>
          <t>outside scope</t>
        </is>
      </c>
      <c r="AB21" s="64" t="inlineStr">
        <is>
          <t>not applicable</t>
        </is>
      </c>
      <c r="AC21" s="64" t="n">
        <v>1</v>
      </c>
      <c r="AD21" s="28">
        <f>R21*N(AC21)</f>
        <v/>
      </c>
    </row>
    <row r="22" ht="15.75" customHeight="1" s="67">
      <c r="A22" s="70" t="inlineStr">
        <is>
          <t>5411188079996</t>
        </is>
      </c>
      <c r="B22" s="64" t="inlineStr">
        <is>
          <t>Soy drink, no sugars, 1 L</t>
        </is>
      </c>
      <c r="C22" s="64" t="inlineStr">
        <is>
          <t>Alpro</t>
        </is>
      </c>
      <c r="D22" s="64" t="inlineStr">
        <is>
          <t>Plant-based</t>
        </is>
      </c>
      <c r="E22" s="64" t="inlineStr">
        <is>
          <t>Plant drinks</t>
        </is>
      </c>
      <c r="F22" s="64" t="inlineStr">
        <is>
          <t>FG2</t>
        </is>
      </c>
      <c r="G22" s="64" t="inlineStr">
        <is>
          <t>dairy_alternative_plant</t>
        </is>
      </c>
      <c r="H22" s="64" t="inlineStr">
        <is>
          <t>plant_based</t>
        </is>
      </c>
      <c r="I22" s="64" t="inlineStr">
        <is>
          <t>No</t>
        </is>
      </c>
      <c r="J22" s="64" t="inlineStr">
        <is>
          <t>not applicable</t>
        </is>
      </c>
      <c r="K22" s="64" t="inlineStr">
        <is>
          <t>plant_core</t>
        </is>
      </c>
      <c r="L22" s="64" t="n">
        <v>3.3</v>
      </c>
      <c r="M22" s="64" t="n">
        <v>3.3</v>
      </c>
      <c r="N22" s="64" t="n">
        <v>0</v>
      </c>
      <c r="O22" s="64" t="n">
        <v>1</v>
      </c>
      <c r="P22" s="64" t="n">
        <v>21</v>
      </c>
      <c r="Q22" s="28">
        <f>IFERROR(VLOOKUP(A22,Welcome!$B$33:$D$62,3,FALSE),0)</f>
        <v/>
      </c>
      <c r="R22" s="28">
        <f>IF(N(Q22)*N(O22)=0,0,Q22*O22)</f>
        <v/>
      </c>
      <c r="S22" s="28">
        <f>R22*N(M22)/100</f>
        <v/>
      </c>
      <c r="T22" s="28">
        <f>R22*N(N22)/100</f>
        <v/>
      </c>
      <c r="U22" t="inlineStr">
        <is>
          <t>Soya base (98.8%) [water, hulled soya beans (8.7%)], acidity regulators (potassium phosphates), calcium (calcium carbonate), flavourings, sea salt, stabiliser (gellan gum), vitamin B2, vitamin B12, vitamin D2.</t>
        </is>
      </c>
      <c r="V22" s="64" t="inlineStr">
        <is>
          <t>Yes</t>
        </is>
      </c>
      <c r="W22" s="64" t="inlineStr">
        <is>
          <t>Yes</t>
        </is>
      </c>
      <c r="X22" s="64" t="inlineStr">
        <is>
          <t>Altera reference database</t>
        </is>
      </c>
      <c r="Y22" s="64" t="inlineStr">
        <is>
          <t>Altera reference database</t>
        </is>
      </c>
      <c r="Z22" s="64" t="inlineStr">
        <is>
          <t>retailer</t>
        </is>
      </c>
      <c r="AA22" s="64" t="inlineStr">
        <is>
          <t>exact · all ingredients on the same side</t>
        </is>
      </c>
      <c r="AB22" s="64" t="inlineStr">
        <is>
          <t>A</t>
        </is>
      </c>
      <c r="AC22" s="64" t="n">
        <v>1</v>
      </c>
      <c r="AD22" s="28">
        <f>R22*N(AC22)</f>
        <v/>
      </c>
    </row>
    <row r="23" ht="15.75" customHeight="1" s="67">
      <c r="A23" s="70" t="inlineStr">
        <is>
          <t>3265471024086</t>
        </is>
      </c>
      <c r="B23" s="64" t="inlineStr">
        <is>
          <t>Cœur de Tournesol sunflower oil, 1 L</t>
        </is>
      </c>
      <c r="C23" s="64" t="inlineStr">
        <is>
          <t>Lesieur</t>
        </is>
      </c>
      <c r="D23" s="64" t="inlineStr">
        <is>
          <t>Grocery</t>
        </is>
      </c>
      <c r="E23" s="64" t="inlineStr">
        <is>
          <t>Oils</t>
        </is>
      </c>
      <c r="F23" s="64" t="inlineStr">
        <is>
          <t>FG3</t>
        </is>
      </c>
      <c r="G23" s="64" t="inlineStr">
        <is>
          <t>plant_based_fat</t>
        </is>
      </c>
      <c r="H23" s="64" t="inlineStr">
        <is>
          <t>plant_based</t>
        </is>
      </c>
      <c r="I23" s="64" t="inlineStr">
        <is>
          <t>No</t>
        </is>
      </c>
      <c r="J23" s="64" t="inlineStr">
        <is>
          <t>not applicable</t>
        </is>
      </c>
      <c r="K23" s="64" t="inlineStr">
        <is>
          <t>plant_non_core</t>
        </is>
      </c>
      <c r="L23" s="64" t="n">
        <v>0</v>
      </c>
      <c r="M23" s="64" t="n">
        <v>0</v>
      </c>
      <c r="N23" s="64" t="n">
        <v>0</v>
      </c>
      <c r="O23" s="64" t="n">
        <v>1</v>
      </c>
      <c r="P23" s="64" t="n">
        <v>22</v>
      </c>
      <c r="Q23" s="28">
        <f>IFERROR(VLOOKUP(A23,Welcome!$B$33:$D$62,3,FALSE),0)</f>
        <v/>
      </c>
      <c r="R23" s="28">
        <f>IF(N(Q23)*N(O23)=0,0,Q23*O23)</f>
        <v/>
      </c>
      <c r="S23" s="28">
        <f>R23*N(M23)/100</f>
        <v/>
      </c>
      <c r="T23" s="28">
        <f>R23*N(N23)/100</f>
        <v/>
      </c>
      <c r="V23" s="64" t="inlineStr">
        <is>
          <t>Yes</t>
        </is>
      </c>
      <c r="W23" s="64" t="inlineStr">
        <is>
          <t>Yes</t>
        </is>
      </c>
      <c r="X23" s="64" t="inlineStr">
        <is>
          <t>Altera reference database</t>
        </is>
      </c>
      <c r="Y23" s="64" t="inlineStr">
        <is>
          <t>Altera reference database</t>
        </is>
      </c>
      <c r="Z23" s="64" t="inlineStr">
        <is>
          <t>retailer</t>
        </is>
      </c>
      <c r="AA23" s="64" t="inlineStr">
        <is>
          <t>no protein</t>
        </is>
      </c>
      <c r="AB23" s="64" t="inlineStr">
        <is>
          <t>A</t>
        </is>
      </c>
      <c r="AC23" s="64" t="n">
        <v>1</v>
      </c>
      <c r="AD23" s="28">
        <f>R23*N(AC23)</f>
        <v/>
      </c>
    </row>
    <row r="24" ht="15.75" customHeight="1" s="67">
      <c r="A24" s="70" t="inlineStr">
        <is>
          <t>3166352968591</t>
        </is>
      </c>
      <c r="B24" s="64" t="inlineStr">
        <is>
          <t>Beef lasagne bolognese, 300 g</t>
        </is>
      </c>
      <c r="C24" s="64" t="inlineStr">
        <is>
          <t>Marie</t>
        </is>
      </c>
      <c r="D24" s="64" t="inlineStr">
        <is>
          <t>Ready meals</t>
        </is>
      </c>
      <c r="E24" s="64" t="inlineStr">
        <is>
          <t>Pasta dishes</t>
        </is>
      </c>
      <c r="F24" s="64" t="inlineStr">
        <is>
          <t>not applicable</t>
        </is>
      </c>
      <c r="G24" s="64" t="inlineStr">
        <is>
          <t>not applicable</t>
        </is>
      </c>
      <c r="H24" s="64" t="inlineStr">
        <is>
          <t>not applicable</t>
        </is>
      </c>
      <c r="I24" s="64" t="inlineStr">
        <is>
          <t>Yes</t>
        </is>
      </c>
      <c r="J24" s="64" t="inlineStr">
        <is>
          <t>meat_based</t>
        </is>
      </c>
      <c r="K24" s="64" t="inlineStr">
        <is>
          <t>animal_core</t>
        </is>
      </c>
      <c r="L24" s="64" t="n">
        <v>7.5</v>
      </c>
      <c r="M24" s="64" t="n">
        <v>0</v>
      </c>
      <c r="N24" s="64" t="n">
        <v>7.5</v>
      </c>
      <c r="O24" s="64" t="n">
        <v>0.3</v>
      </c>
      <c r="P24" s="64" t="n">
        <v>23</v>
      </c>
      <c r="Q24" s="28">
        <f>IFERROR(VLOOKUP(A24,Welcome!$B$33:$D$62,3,FALSE),0)</f>
        <v/>
      </c>
      <c r="R24" s="28">
        <f>IF(N(Q24)*N(O24)=0,0,Q24*O24)</f>
        <v/>
      </c>
      <c r="S24" s="28">
        <f>R24*N(M24)/100</f>
        <v/>
      </c>
      <c r="T24" s="28">
        <f>R24*N(N24)/100</f>
        <v/>
      </c>
      <c r="U24" t="inlineStr">
        <is>
          <t>Béchamel 33% (water, crème fraîche, skimmed milk powder, maize starch, wheat flour, salt, virgin olive oil, nutmeg), cooked fresh lasagne sheets 17.5% (water, durum wheat semolina), water, beef from France 9.1%, double tomato concentrate 5.9%, tomato pulp in juice 5.9% (tomatoes, tomato juice), cooked beef from France 4.8%, onions, emmental 2.7%, vegetable stock [vegetables and vegetable cooking juices (tomatoes, onions, peppers, grilled aubergines, garlic, courgettes), virgin olive oil, salt, pepper], basil 0.8%, Dijon mustard (water, mustard seeds, spirit vinegar, salt), maize starch, garlic, salt, oregano, pepper.</t>
        </is>
      </c>
      <c r="V24" s="64" t="inlineStr">
        <is>
          <t>Yes</t>
        </is>
      </c>
      <c r="W24" s="64" t="inlineStr">
        <is>
          <t>Yes</t>
        </is>
      </c>
      <c r="X24" s="64" t="n">
        <v>95</v>
      </c>
      <c r="Y24" s="64" t="n">
        <v>95</v>
      </c>
      <c r="Z24" s="64" t="inlineStr">
        <is>
          <t>retailer</t>
        </is>
      </c>
      <c r="AA24" s="64" t="inlineStr">
        <is>
          <t>follows its Protein Tracker group (animal core) · all animal</t>
        </is>
      </c>
      <c r="AB24" s="64" t="inlineStr">
        <is>
          <t>A</t>
        </is>
      </c>
      <c r="AC24" s="64" t="n">
        <v>1</v>
      </c>
      <c r="AD24" s="28">
        <f>R24*N(AC24)</f>
        <v/>
      </c>
    </row>
    <row r="25" ht="15.75" customHeight="1" s="67">
      <c r="A25" s="70" t="inlineStr">
        <is>
          <t>7394376616228</t>
        </is>
      </c>
      <c r="B25" s="64" t="inlineStr">
        <is>
          <t>Barista oat drink, 1 L</t>
        </is>
      </c>
      <c r="C25" s="64" t="inlineStr">
        <is>
          <t>Oatly</t>
        </is>
      </c>
      <c r="D25" s="64" t="inlineStr">
        <is>
          <t>Plant-based</t>
        </is>
      </c>
      <c r="E25" s="64" t="inlineStr">
        <is>
          <t>Plant drinks</t>
        </is>
      </c>
      <c r="F25" s="64" t="inlineStr">
        <is>
          <t>FG2</t>
        </is>
      </c>
      <c r="G25" s="64" t="inlineStr">
        <is>
          <t>dairy_alternative_plant</t>
        </is>
      </c>
      <c r="H25" s="64" t="inlineStr">
        <is>
          <t>plant_based</t>
        </is>
      </c>
      <c r="I25" s="64" t="inlineStr">
        <is>
          <t>No</t>
        </is>
      </c>
      <c r="J25" s="64" t="inlineStr">
        <is>
          <t>not applicable</t>
        </is>
      </c>
      <c r="K25" s="64" t="inlineStr">
        <is>
          <t>plant_core</t>
        </is>
      </c>
      <c r="L25" s="64" t="n">
        <v>1.1</v>
      </c>
      <c r="M25" s="64" t="n">
        <v>1.1</v>
      </c>
      <c r="N25" s="64" t="n">
        <v>0</v>
      </c>
      <c r="O25" s="64" t="n">
        <v>1</v>
      </c>
      <c r="P25" s="64" t="n">
        <v>24</v>
      </c>
      <c r="Q25" s="28">
        <f>IFERROR(VLOOKUP(A25,Welcome!$B$33:$D$62,3,FALSE),0)</f>
        <v/>
      </c>
      <c r="R25" s="28">
        <f>IF(N(Q25)*N(O25)=0,0,Q25*O25)</f>
        <v/>
      </c>
      <c r="S25" s="28">
        <f>R25*N(M25)/100</f>
        <v/>
      </c>
      <c r="T25" s="28">
        <f>R25*N(N25)/100</f>
        <v/>
      </c>
      <c r="U25" t="inlineStr">
        <is>
          <t>Water, oats 10%, rapeseed oil, acidity regulator (dipotassium phosphate), minerals (calcium carbonate, potassium iodide), salt, vitamins (D2, riboflavin and B12).</t>
        </is>
      </c>
      <c r="V25" s="64" t="inlineStr">
        <is>
          <t>Yes</t>
        </is>
      </c>
      <c r="W25" s="64" t="inlineStr">
        <is>
          <t>Yes</t>
        </is>
      </c>
      <c r="X25" s="64" t="n">
        <v>95</v>
      </c>
      <c r="Y25" s="64" t="n">
        <v>95</v>
      </c>
      <c r="Z25" s="64" t="inlineStr">
        <is>
          <t>retailer</t>
        </is>
      </c>
      <c r="AA25" s="64" t="inlineStr">
        <is>
          <t>exact · all ingredients on the same side</t>
        </is>
      </c>
      <c r="AB25" s="64" t="inlineStr">
        <is>
          <t>A</t>
        </is>
      </c>
      <c r="AC25" s="64" t="n">
        <v>1</v>
      </c>
      <c r="AD25" s="28">
        <f>R25*N(AC25)</f>
        <v/>
      </c>
    </row>
    <row r="26" ht="15.75" customHeight="1" s="67">
      <c r="A26" s="70" t="inlineStr">
        <is>
          <t>3083681085891</t>
        </is>
      </c>
      <c r="B26" s="64" t="inlineStr">
        <is>
          <t>Steamed lentils, 265 g</t>
        </is>
      </c>
      <c r="C26" s="64" t="inlineStr">
        <is>
          <t>Bonduelle</t>
        </is>
      </c>
      <c r="D26" s="64" t="inlineStr">
        <is>
          <t>Grocery</t>
        </is>
      </c>
      <c r="E26" s="64" t="inlineStr">
        <is>
          <t>Canned pulses</t>
        </is>
      </c>
      <c r="F26" s="64" t="inlineStr">
        <is>
          <t>FG1</t>
        </is>
      </c>
      <c r="G26" s="64" t="inlineStr">
        <is>
          <t>legumes</t>
        </is>
      </c>
      <c r="H26" s="64" t="inlineStr">
        <is>
          <t>plant_based</t>
        </is>
      </c>
      <c r="I26" s="64" t="inlineStr">
        <is>
          <t>No</t>
        </is>
      </c>
      <c r="J26" s="64" t="inlineStr">
        <is>
          <t>not applicable</t>
        </is>
      </c>
      <c r="K26" s="64" t="inlineStr">
        <is>
          <t>plant_core</t>
        </is>
      </c>
      <c r="L26" s="64" t="n">
        <v>8.699999999999999</v>
      </c>
      <c r="M26" s="64" t="n">
        <v>8.699999999999999</v>
      </c>
      <c r="N26" s="64" t="n">
        <v>0</v>
      </c>
      <c r="O26" s="64" t="n">
        <v>0.265</v>
      </c>
      <c r="P26" s="64" t="n">
        <v>25</v>
      </c>
      <c r="Q26" s="28">
        <f>IFERROR(VLOOKUP(A26,Welcome!$B$33:$D$62,3,FALSE),0)</f>
        <v/>
      </c>
      <c r="R26" s="28">
        <f>IF(N(Q26)*N(O26)=0,0,Q26*O26)</f>
        <v/>
      </c>
      <c r="S26" s="28">
        <f>R26*N(M26)/100</f>
        <v/>
      </c>
      <c r="T26" s="28">
        <f>R26*N(N26)/100</f>
        <v/>
      </c>
      <c r="U26" t="inlineStr">
        <is>
          <t>Soaked dried [green] lentils, water, salt, firming agent: calcium chloride. May contain WHEAT</t>
        </is>
      </c>
      <c r="V26" s="64" t="inlineStr">
        <is>
          <t>Yes</t>
        </is>
      </c>
      <c r="W26" s="64" t="inlineStr">
        <is>
          <t>Yes</t>
        </is>
      </c>
      <c r="X26" s="64" t="n">
        <v>96</v>
      </c>
      <c r="Y26" s="64" t="n">
        <v>96</v>
      </c>
      <c r="Z26" s="64" t="inlineStr">
        <is>
          <t>OpenFoodFacts</t>
        </is>
      </c>
      <c r="AA26" s="64" t="inlineStr">
        <is>
          <t>exact · all ingredients on the same side</t>
        </is>
      </c>
      <c r="AB26" s="64" t="inlineStr">
        <is>
          <t>A</t>
        </is>
      </c>
      <c r="AC26" s="64" t="n">
        <v>1</v>
      </c>
      <c r="AD26" s="28">
        <f>R26*N(AC26)</f>
        <v/>
      </c>
    </row>
    <row r="27" ht="15.75" customHeight="1" s="67">
      <c r="A27" s="70" t="inlineStr">
        <is>
          <t>7613034897930</t>
        </is>
      </c>
      <c r="B27" s="64" t="inlineStr">
        <is>
          <t>Instant mashed potato, plain, 4 × 130 g</t>
        </is>
      </c>
      <c r="C27" s="64" t="inlineStr">
        <is>
          <t>Mousline</t>
        </is>
      </c>
      <c r="D27" s="64" t="inlineStr">
        <is>
          <t>Grocery</t>
        </is>
      </c>
      <c r="E27" s="64" t="inlineStr">
        <is>
          <t>Potato flakes</t>
        </is>
      </c>
      <c r="F27" s="64" t="inlineStr">
        <is>
          <t>FG6</t>
        </is>
      </c>
      <c r="G27" s="64" t="inlineStr">
        <is>
          <t>not applicable</t>
        </is>
      </c>
      <c r="H27" s="64" t="inlineStr">
        <is>
          <t>plant_based</t>
        </is>
      </c>
      <c r="I27" s="64" t="inlineStr">
        <is>
          <t>No</t>
        </is>
      </c>
      <c r="J27" s="64" t="inlineStr">
        <is>
          <t>not applicable</t>
        </is>
      </c>
      <c r="K27" s="64" t="inlineStr">
        <is>
          <t>plant_non_core</t>
        </is>
      </c>
      <c r="L27" s="64" t="n">
        <v>8.300000000000001</v>
      </c>
      <c r="M27" s="64" t="n">
        <v>8.300000000000001</v>
      </c>
      <c r="N27" s="64" t="n">
        <v>0</v>
      </c>
      <c r="O27" s="64" t="n">
        <v>0.52</v>
      </c>
      <c r="P27" s="64" t="n">
        <v>26</v>
      </c>
      <c r="Q27" s="28">
        <f>IFERROR(VLOOKUP(A27,Welcome!$B$33:$D$62,3,FALSE),0)</f>
        <v/>
      </c>
      <c r="R27" s="28">
        <f>IF(N(Q27)*N(O27)=0,0,Q27*O27)</f>
        <v/>
      </c>
      <c r="S27" s="28">
        <f>R27*N(M27)/100</f>
        <v/>
      </c>
      <c r="T27" s="28">
        <f>R27*N(N27)/100</f>
        <v/>
      </c>
      <c r="V27" s="64" t="inlineStr">
        <is>
          <t>Yes</t>
        </is>
      </c>
      <c r="W27" s="64" t="inlineStr">
        <is>
          <t>Yes</t>
        </is>
      </c>
      <c r="X27" s="64" t="n">
        <v>89</v>
      </c>
      <c r="Y27" s="64" t="n">
        <v>89</v>
      </c>
      <c r="Z27" s="64" t="inlineStr">
        <is>
          <t>CIQUAL</t>
        </is>
      </c>
      <c r="AA27" s="64" t="inlineStr">
        <is>
          <t>deduced from the origin of the product · the protein follows its single side</t>
        </is>
      </c>
      <c r="AB27" s="64" t="inlineStr">
        <is>
          <t>A</t>
        </is>
      </c>
      <c r="AC27" s="64" t="n">
        <v>1</v>
      </c>
      <c r="AD27" s="28">
        <f>R27*N(AC27)</f>
        <v/>
      </c>
    </row>
    <row r="28" ht="15.75" customHeight="1" s="67">
      <c r="A28" s="70" t="inlineStr">
        <is>
          <t>8710100426588</t>
        </is>
      </c>
      <c r="B28" s="64" t="inlineStr">
        <is>
          <t>Rolled oats, 800 g</t>
        </is>
      </c>
      <c r="C28" s="64" t="inlineStr">
        <is>
          <t>Quaker</t>
        </is>
      </c>
      <c r="D28" s="64" t="inlineStr">
        <is>
          <t>Breakfast</t>
        </is>
      </c>
      <c r="E28" s="64" t="inlineStr">
        <is>
          <t>Cereals</t>
        </is>
      </c>
      <c r="F28" s="64" t="inlineStr">
        <is>
          <t>FG5</t>
        </is>
      </c>
      <c r="G28" s="64" t="inlineStr">
        <is>
          <t>whole_grain</t>
        </is>
      </c>
      <c r="H28" s="64" t="inlineStr">
        <is>
          <t>plant_based</t>
        </is>
      </c>
      <c r="I28" s="64" t="inlineStr">
        <is>
          <t>No</t>
        </is>
      </c>
      <c r="J28" s="64" t="inlineStr">
        <is>
          <t>not applicable</t>
        </is>
      </c>
      <c r="K28" s="64" t="inlineStr">
        <is>
          <t>plant_non_core</t>
        </is>
      </c>
      <c r="L28" s="64" t="n">
        <v>11</v>
      </c>
      <c r="M28" s="64" t="n">
        <v>11</v>
      </c>
      <c r="N28" s="64" t="n">
        <v>0</v>
      </c>
      <c r="O28" s="64" t="n">
        <v>0.8</v>
      </c>
      <c r="P28" s="64" t="n">
        <v>27</v>
      </c>
      <c r="Q28" s="28">
        <f>IFERROR(VLOOKUP(A28,Welcome!$B$33:$D$62,3,FALSE),0)</f>
        <v/>
      </c>
      <c r="R28" s="28">
        <f>IF(N(Q28)*N(O28)=0,0,Q28*O28)</f>
        <v/>
      </c>
      <c r="S28" s="28">
        <f>R28*N(M28)/100</f>
        <v/>
      </c>
      <c r="T28" s="28">
        <f>R28*N(N28)/100</f>
        <v/>
      </c>
      <c r="V28" s="64" t="inlineStr">
        <is>
          <t>Yes</t>
        </is>
      </c>
      <c r="W28" s="64" t="inlineStr">
        <is>
          <t>Yes</t>
        </is>
      </c>
      <c r="X28" s="64" t="n">
        <v>95</v>
      </c>
      <c r="Y28" s="64" t="n">
        <v>95</v>
      </c>
      <c r="Z28" s="64" t="inlineStr">
        <is>
          <t>retailer</t>
        </is>
      </c>
      <c r="AA28" s="64" t="inlineStr">
        <is>
          <t>deduced from the origin of the product · the protein follows its single side</t>
        </is>
      </c>
      <c r="AB28" s="64" t="inlineStr">
        <is>
          <t>A</t>
        </is>
      </c>
      <c r="AC28" s="64" t="n">
        <v>1</v>
      </c>
      <c r="AD28" s="28">
        <f>R28*N(AC28)</f>
        <v/>
      </c>
    </row>
    <row r="29" ht="15.75" customHeight="1" s="67">
      <c r="A29" s="70" t="inlineStr">
        <is>
          <t>7613037398083</t>
        </is>
      </c>
      <c r="B29" s="64" t="inlineStr">
        <is>
          <t>Sensational soy mince, 200 g</t>
        </is>
      </c>
      <c r="C29" s="64" t="inlineStr">
        <is>
          <t>Garden Gourmet</t>
        </is>
      </c>
      <c r="D29" s="64" t="inlineStr">
        <is>
          <t>Plant-based</t>
        </is>
      </c>
      <c r="E29" s="64" t="inlineStr">
        <is>
          <t>Meat alternatives</t>
        </is>
      </c>
      <c r="F29" s="64" t="inlineStr">
        <is>
          <t>FG1</t>
        </is>
      </c>
      <c r="G29" s="64" t="inlineStr">
        <is>
          <t>meat_egg_seafood_alternatives</t>
        </is>
      </c>
      <c r="H29" s="64" t="inlineStr">
        <is>
          <t>plant_based</t>
        </is>
      </c>
      <c r="I29" s="64" t="inlineStr">
        <is>
          <t>No</t>
        </is>
      </c>
      <c r="J29" s="64" t="inlineStr">
        <is>
          <t>not applicable</t>
        </is>
      </c>
      <c r="K29" s="64" t="inlineStr">
        <is>
          <t>plant_core</t>
        </is>
      </c>
      <c r="L29" s="64" t="n">
        <v>15.7</v>
      </c>
      <c r="M29" s="64" t="n">
        <v>15.7</v>
      </c>
      <c r="N29" s="64" t="n">
        <v>0</v>
      </c>
      <c r="O29" s="64" t="n">
        <v>0.2</v>
      </c>
      <c r="P29" s="64" t="n">
        <v>28</v>
      </c>
      <c r="Q29" s="28">
        <f>IFERROR(VLOOKUP(A29,Welcome!$B$33:$D$62,3,FALSE),0)</f>
        <v/>
      </c>
      <c r="R29" s="28">
        <f>IF(N(Q29)*N(O29)=0,0,Q29*O29)</f>
        <v/>
      </c>
      <c r="S29" s="28">
        <f>R29*N(M29)/100</f>
        <v/>
      </c>
      <c r="T29" s="28">
        <f>R29*N(N29)/100</f>
        <v/>
      </c>
      <c r="U29" t="inlineStr">
        <is>
          <t>Water, SOY protein concentrate 23.5%, vegetable oils (rapeseed, coconut), acidity regulator: buffered vinegar; stabiliser: methylcellulose; flavourings, vegetable concentrates (beetroot, apple, carrot, hibiscus), salt, BARLEY malt extract, garlic powder, onion powder, black pepper, SOY sauce (SOY, WHEAT, salt). May contain: EGGS.</t>
        </is>
      </c>
      <c r="V29" s="64" t="inlineStr">
        <is>
          <t>Yes</t>
        </is>
      </c>
      <c r="W29" s="64" t="inlineStr">
        <is>
          <t>Yes</t>
        </is>
      </c>
      <c r="X29" s="64" t="n">
        <v>98</v>
      </c>
      <c r="Y29" s="64" t="n">
        <v>98</v>
      </c>
      <c r="Z29" s="64" t="inlineStr">
        <is>
          <t>retailer</t>
        </is>
      </c>
      <c r="AA29" s="64" t="inlineStr">
        <is>
          <t>exact · all ingredients on the same side</t>
        </is>
      </c>
      <c r="AB29" s="64" t="inlineStr">
        <is>
          <t>A</t>
        </is>
      </c>
      <c r="AC29" s="64" t="n">
        <v>1</v>
      </c>
      <c r="AD29" s="28">
        <f>R29*N(AC29)</f>
        <v/>
      </c>
    </row>
    <row r="30" ht="15.75" customHeight="1" s="67">
      <c r="A30" s="70" t="inlineStr">
        <is>
          <t>4008258074008</t>
        </is>
      </c>
      <c r="B30" s="64" t="inlineStr">
        <is>
          <t>Roasted almonds, 150 g</t>
        </is>
      </c>
      <c r="C30" s="64" t="inlineStr">
        <is>
          <t>Seeberger</t>
        </is>
      </c>
      <c r="D30" s="64" t="inlineStr">
        <is>
          <t>Grocery</t>
        </is>
      </c>
      <c r="E30" s="64" t="inlineStr">
        <is>
          <t>Nuts and dried fruit</t>
        </is>
      </c>
      <c r="F30" s="64" t="inlineStr">
        <is>
          <t>FG1</t>
        </is>
      </c>
      <c r="G30" s="64" t="inlineStr">
        <is>
          <t>nuts</t>
        </is>
      </c>
      <c r="H30" s="64" t="inlineStr">
        <is>
          <t>plant_based</t>
        </is>
      </c>
      <c r="I30" s="64" t="inlineStr">
        <is>
          <t>No</t>
        </is>
      </c>
      <c r="J30" s="64" t="inlineStr">
        <is>
          <t>not applicable</t>
        </is>
      </c>
      <c r="K30" s="64" t="inlineStr">
        <is>
          <t>plant_core</t>
        </is>
      </c>
      <c r="L30" s="64" t="n">
        <v>26</v>
      </c>
      <c r="M30" s="64" t="n">
        <v>26</v>
      </c>
      <c r="N30" s="64" t="n">
        <v>0</v>
      </c>
      <c r="O30" s="64" t="n">
        <v>0.15</v>
      </c>
      <c r="P30" s="64" t="n">
        <v>29</v>
      </c>
      <c r="Q30" s="28">
        <f>IFERROR(VLOOKUP(A30,Welcome!$B$33:$D$62,3,FALSE),0)</f>
        <v/>
      </c>
      <c r="R30" s="28">
        <f>IF(N(Q30)*N(O30)=0,0,Q30*O30)</f>
        <v/>
      </c>
      <c r="S30" s="28">
        <f>R30*N(M30)/100</f>
        <v/>
      </c>
      <c r="T30" s="28">
        <f>R30*N(N30)/100</f>
        <v/>
      </c>
      <c r="V30" s="64" t="inlineStr">
        <is>
          <t>Yes</t>
        </is>
      </c>
      <c r="W30" s="64" t="inlineStr">
        <is>
          <t>Yes</t>
        </is>
      </c>
      <c r="X30" s="64" t="n">
        <v>97</v>
      </c>
      <c r="Y30" s="64" t="n">
        <v>97</v>
      </c>
      <c r="Z30" s="64" t="inlineStr">
        <is>
          <t>OpenFoodFacts</t>
        </is>
      </c>
      <c r="AA30" s="64" t="inlineStr">
        <is>
          <t>deduced from the origin of the product · the protein follows its single side</t>
        </is>
      </c>
      <c r="AB30" s="64" t="inlineStr">
        <is>
          <t>A</t>
        </is>
      </c>
      <c r="AC30" s="64" t="n">
        <v>1</v>
      </c>
      <c r="AD30" s="28">
        <f>R30*N(AC30)</f>
        <v/>
      </c>
    </row>
    <row r="31" ht="15.75" customHeight="1" s="67">
      <c r="A31" s="70" t="inlineStr">
        <is>
          <t>4012359144003</t>
        </is>
      </c>
      <c r="B31" s="64" t="inlineStr">
        <is>
          <t>Japanese-style tofu fillets, 160 g</t>
        </is>
      </c>
      <c r="C31" s="64" t="inlineStr">
        <is>
          <t>Taifun</t>
        </is>
      </c>
      <c r="D31" s="64" t="inlineStr">
        <is>
          <t>Plant-based</t>
        </is>
      </c>
      <c r="E31" s="64" t="inlineStr">
        <is>
          <t>Tofu</t>
        </is>
      </c>
      <c r="F31" s="64" t="inlineStr">
        <is>
          <t>FG1</t>
        </is>
      </c>
      <c r="G31" s="64" t="inlineStr">
        <is>
          <t>tofu_tempeh_seitan</t>
        </is>
      </c>
      <c r="H31" s="64" t="inlineStr">
        <is>
          <t>plant_based</t>
        </is>
      </c>
      <c r="I31" s="64" t="inlineStr">
        <is>
          <t>No</t>
        </is>
      </c>
      <c r="J31" s="64" t="inlineStr">
        <is>
          <t>not applicable</t>
        </is>
      </c>
      <c r="K31" s="64" t="inlineStr">
        <is>
          <t>plant_core</t>
        </is>
      </c>
      <c r="L31" s="64" t="n">
        <v>19</v>
      </c>
      <c r="M31" s="64" t="n">
        <v>19</v>
      </c>
      <c r="N31" s="64" t="n">
        <v>0</v>
      </c>
      <c r="O31" s="64" t="n">
        <v>0.16</v>
      </c>
      <c r="P31" s="64" t="n">
        <v>30</v>
      </c>
      <c r="Q31" s="28">
        <f>IFERROR(VLOOKUP(A31,Welcome!$B$33:$D$62,3,FALSE),0)</f>
        <v/>
      </c>
      <c r="R31" s="28">
        <f>IF(N(Q31)*N(O31)=0,0,Q31*O31)</f>
        <v/>
      </c>
      <c r="S31" s="28">
        <f>R31*N(M31)/100</f>
        <v/>
      </c>
      <c r="T31" s="28">
        <f>R31*N(N31)/100</f>
        <v/>
      </c>
      <c r="U31" t="inlineStr">
        <is>
          <t>Tofu* 94% (soya beans* 55%, water, coagulants: magnesium chloride, calcium sulphate), sunflower oil*, vegetable stock (sea salt, yeast extract*, sunflower oil*, leeks*, carrots*, celery*, mace*, nutmeg*, parsley*), concentrated lemon juice*.</t>
        </is>
      </c>
      <c r="V31" s="64" t="inlineStr">
        <is>
          <t>Yes</t>
        </is>
      </c>
      <c r="W31" s="64" t="inlineStr">
        <is>
          <t>Yes</t>
        </is>
      </c>
      <c r="X31" s="64" t="inlineStr">
        <is>
          <t>Altera reference database</t>
        </is>
      </c>
      <c r="Y31" s="64" t="inlineStr">
        <is>
          <t>Altera reference database</t>
        </is>
      </c>
      <c r="Z31" s="64" t="inlineStr">
        <is>
          <t>Altera reference database</t>
        </is>
      </c>
      <c r="AA31" s="64" t="inlineStr">
        <is>
          <t>exact · all ingredients on the same side</t>
        </is>
      </c>
      <c r="AB31" s="64" t="inlineStr">
        <is>
          <t>A</t>
        </is>
      </c>
      <c r="AC31" s="64" t="n">
        <v>1</v>
      </c>
      <c r="AD31" s="28">
        <f>R31*N(AC31)</f>
        <v/>
      </c>
    </row>
    <row r="32" ht="15.75" customHeight="1" s="67">
      <c r="Q32" s="55" t="n"/>
    </row>
    <row r="33" ht="15.75" customHeight="1" s="67">
      <c r="Q33" s="55" t="n"/>
    </row>
    <row r="34" ht="15.75" customHeight="1" s="67">
      <c r="Q34" s="55" t="n"/>
    </row>
    <row r="35" ht="15.75" customHeight="1" s="67">
      <c r="Q35" s="55" t="n"/>
    </row>
    <row r="36" ht="15.75" customHeight="1" s="67">
      <c r="Q36" s="55" t="n"/>
    </row>
    <row r="37" ht="15.75" customHeight="1" s="67">
      <c r="Q37" s="55" t="n"/>
    </row>
    <row r="38" ht="15.75" customHeight="1" s="67">
      <c r="Q38" s="55" t="n"/>
    </row>
    <row r="39" ht="15.75" customHeight="1" s="67">
      <c r="Q39" s="55" t="n"/>
    </row>
    <row r="40" ht="15.75" customHeight="1" s="67">
      <c r="Q40" s="55" t="n"/>
    </row>
    <row r="41" ht="15.75" customHeight="1" s="67">
      <c r="Q41" s="55" t="n"/>
    </row>
    <row r="42" ht="15.75" customHeight="1" s="67">
      <c r="Q42" s="55" t="n"/>
    </row>
    <row r="43" ht="15.75" customHeight="1" s="67">
      <c r="Q43" s="55" t="n"/>
    </row>
    <row r="44" ht="15.75" customHeight="1" s="67">
      <c r="Q44" s="55" t="n"/>
    </row>
    <row r="45" ht="15.75" customHeight="1" s="67">
      <c r="Q45" s="55" t="n"/>
    </row>
    <row r="46" ht="15.75" customHeight="1" s="67">
      <c r="Q46" s="55" t="n"/>
    </row>
    <row r="47" ht="15.75" customHeight="1" s="67">
      <c r="Q47" s="55" t="n"/>
    </row>
    <row r="48" ht="15.75" customHeight="1" s="67">
      <c r="Q48" s="55" t="n"/>
    </row>
    <row r="49" ht="15.75" customHeight="1" s="67">
      <c r="Q49" s="55" t="n"/>
    </row>
    <row r="50" ht="15.75" customHeight="1" s="67">
      <c r="Q50" s="55" t="n"/>
    </row>
    <row r="51" ht="15.75" customHeight="1" s="67">
      <c r="Q51" s="55" t="n"/>
    </row>
    <row r="52" ht="15.75" customHeight="1" s="67">
      <c r="A52" s="64" t="n"/>
      <c r="Q52" s="55" t="n"/>
    </row>
    <row r="53" ht="15.75" customHeight="1" s="67">
      <c r="Q53" s="55" t="n"/>
    </row>
    <row r="54" ht="15.75" customHeight="1" s="67">
      <c r="Q54" s="55" t="n"/>
    </row>
    <row r="55" ht="15.75" customHeight="1" s="67">
      <c r="Q55" s="55" t="n"/>
    </row>
    <row r="56" ht="15.75" customHeight="1" s="67">
      <c r="Q56" s="55" t="n"/>
    </row>
    <row r="57" ht="15.75" customHeight="1" s="67">
      <c r="Q57" s="55" t="n"/>
    </row>
    <row r="58" ht="15.75" customHeight="1" s="67">
      <c r="Q58" s="55" t="n"/>
    </row>
    <row r="59" ht="15.75" customHeight="1" s="67">
      <c r="Q59" s="55" t="n"/>
    </row>
    <row r="60" ht="15.75" customHeight="1" s="67">
      <c r="Q60" s="55" t="n"/>
    </row>
    <row r="61" ht="15.75" customHeight="1" s="67">
      <c r="Q61" s="55" t="n"/>
    </row>
    <row r="62" ht="15.75" customHeight="1" s="67">
      <c r="Q62" s="55" t="n"/>
    </row>
    <row r="63" ht="15.75" customHeight="1" s="67">
      <c r="Q63" s="55" t="n"/>
    </row>
    <row r="64" ht="15.75" customHeight="1" s="67">
      <c r="Q64" s="55" t="n"/>
    </row>
    <row r="65" ht="15.75" customHeight="1" s="67">
      <c r="Q65" s="55" t="n"/>
    </row>
    <row r="66" ht="15.75" customHeight="1" s="67">
      <c r="Q66" s="55" t="n"/>
    </row>
    <row r="67" ht="15.75" customHeight="1" s="67">
      <c r="Q67" s="55" t="n"/>
    </row>
    <row r="68" ht="15.75" customHeight="1" s="67">
      <c r="Q68" s="55" t="n"/>
    </row>
    <row r="69" ht="15.75" customHeight="1" s="67">
      <c r="Q69" s="55" t="n"/>
    </row>
    <row r="70" ht="15.75" customHeight="1" s="67">
      <c r="Q70" s="55" t="n"/>
    </row>
    <row r="71" ht="15.75" customHeight="1" s="67">
      <c r="Q71" s="55" t="n"/>
    </row>
    <row r="72" ht="15.75" customHeight="1" s="67">
      <c r="Q72" s="55" t="n"/>
    </row>
    <row r="73" ht="15.75" customHeight="1" s="67">
      <c r="Q73" s="55" t="n"/>
    </row>
    <row r="74" ht="15.75" customHeight="1" s="67">
      <c r="Q74" s="55" t="n"/>
    </row>
    <row r="75" ht="15.75" customHeight="1" s="67">
      <c r="Q75" s="55" t="n"/>
    </row>
    <row r="76" ht="15.75" customHeight="1" s="67">
      <c r="Q76" s="55" t="n"/>
    </row>
    <row r="77" ht="15.75" customHeight="1" s="67">
      <c r="Q77" s="55" t="n"/>
    </row>
    <row r="78" ht="15.75" customHeight="1" s="67">
      <c r="Q78" s="55" t="n"/>
    </row>
    <row r="79" ht="15.75" customHeight="1" s="67">
      <c r="Q79" s="55" t="n"/>
    </row>
    <row r="80" ht="15.75" customHeight="1" s="67">
      <c r="Q80" s="55" t="n"/>
    </row>
    <row r="81" ht="15.75" customHeight="1" s="67">
      <c r="Q81" s="55" t="n"/>
    </row>
    <row r="82" ht="15.75" customHeight="1" s="67">
      <c r="Q82" s="55" t="n"/>
    </row>
    <row r="83" ht="15.75" customHeight="1" s="67">
      <c r="Q83" s="55" t="n"/>
    </row>
    <row r="84" ht="15.75" customHeight="1" s="67">
      <c r="Q84" s="55" t="n"/>
    </row>
    <row r="85" ht="15.75" customHeight="1" s="67">
      <c r="Q85" s="55" t="n"/>
    </row>
    <row r="86" ht="15.75" customHeight="1" s="67">
      <c r="Q86" s="55" t="n"/>
    </row>
    <row r="87" ht="15.75" customHeight="1" s="67">
      <c r="Q87" s="55" t="n"/>
    </row>
    <row r="88" ht="15.75" customHeight="1" s="67">
      <c r="Q88" s="55" t="n"/>
    </row>
    <row r="89" ht="15.75" customHeight="1" s="67">
      <c r="Q89" s="55" t="n"/>
    </row>
    <row r="90" ht="15.75" customHeight="1" s="67">
      <c r="Q90" s="55" t="n"/>
    </row>
    <row r="91" ht="15.75" customHeight="1" s="67">
      <c r="Q91" s="55" t="n"/>
    </row>
    <row r="92" ht="15.75" customHeight="1" s="67">
      <c r="Q92" s="55" t="n"/>
    </row>
    <row r="93" ht="15.75" customHeight="1" s="67">
      <c r="Q93" s="55" t="n"/>
    </row>
    <row r="94" ht="15.75" customHeight="1" s="67">
      <c r="Q94" s="55" t="n"/>
    </row>
    <row r="95" ht="15.75" customHeight="1" s="67">
      <c r="Q95" s="55" t="n"/>
    </row>
    <row r="96" ht="15.75" customHeight="1" s="67">
      <c r="Q96" s="55" t="n"/>
    </row>
    <row r="97" ht="15.75" customHeight="1" s="67">
      <c r="Q97" s="55" t="n"/>
    </row>
    <row r="98" ht="15.75" customHeight="1" s="67">
      <c r="Q98" s="55" t="n"/>
    </row>
    <row r="99" ht="15.75" customHeight="1" s="67">
      <c r="Q99" s="55" t="n"/>
    </row>
    <row r="100" ht="15.75" customHeight="1" s="67">
      <c r="Q100" s="55" t="n"/>
    </row>
    <row r="101" ht="15.75" customHeight="1" s="67">
      <c r="Q101" s="55" t="n"/>
    </row>
    <row r="102" ht="15.75" customHeight="1" s="67">
      <c r="Q102" s="55" t="n"/>
    </row>
    <row r="103" ht="15.75" customHeight="1" s="67">
      <c r="Q103" s="55" t="n"/>
    </row>
    <row r="104" ht="15.75" customHeight="1" s="67">
      <c r="Q104" s="55" t="n"/>
    </row>
    <row r="105" ht="15.75" customHeight="1" s="67">
      <c r="Q105" s="55" t="n"/>
    </row>
    <row r="106" ht="15.75" customHeight="1" s="67">
      <c r="Q106" s="55" t="n"/>
    </row>
    <row r="107" ht="15.75" customHeight="1" s="67">
      <c r="Q107" s="55" t="n"/>
    </row>
    <row r="108" ht="15.75" customHeight="1" s="67">
      <c r="Q108" s="55" t="n"/>
    </row>
    <row r="109" ht="15.75" customHeight="1" s="67">
      <c r="Q109" s="55" t="n"/>
    </row>
    <row r="110" ht="15.75" customHeight="1" s="67">
      <c r="Q110" s="55" t="n"/>
    </row>
    <row r="111" ht="15.75" customHeight="1" s="67">
      <c r="Q111" s="55" t="n"/>
    </row>
    <row r="112" ht="15.75" customHeight="1" s="67">
      <c r="Q112" s="55" t="n"/>
    </row>
    <row r="113" ht="15.75" customHeight="1" s="67">
      <c r="Q113" s="55" t="n"/>
    </row>
    <row r="114" ht="15.75" customHeight="1" s="67">
      <c r="Q114" s="55" t="n"/>
    </row>
    <row r="115" ht="15.75" customHeight="1" s="67">
      <c r="Q115" s="55" t="n"/>
    </row>
    <row r="116" ht="15.75" customHeight="1" s="67">
      <c r="Q116" s="55" t="n"/>
    </row>
    <row r="117" ht="15.75" customHeight="1" s="67">
      <c r="Q117" s="55" t="n"/>
    </row>
    <row r="118" ht="15.75" customHeight="1" s="67">
      <c r="Q118" s="55" t="n"/>
    </row>
    <row r="119" ht="15.75" customHeight="1" s="67">
      <c r="Q119" s="55" t="n"/>
    </row>
    <row r="120" ht="15.75" customHeight="1" s="67">
      <c r="Q120" s="55" t="n"/>
    </row>
    <row r="121" ht="15.75" customHeight="1" s="67">
      <c r="Q121" s="55" t="n"/>
    </row>
    <row r="122" ht="15.75" customHeight="1" s="67">
      <c r="Q122" s="55" t="n"/>
    </row>
    <row r="123" ht="15.75" customHeight="1" s="67">
      <c r="Q123" s="55" t="n"/>
    </row>
    <row r="124" ht="15.75" customHeight="1" s="67">
      <c r="Q124" s="55" t="n"/>
    </row>
    <row r="125" ht="15.75" customHeight="1" s="67">
      <c r="Q125" s="55" t="n"/>
    </row>
    <row r="126" ht="15.75" customHeight="1" s="67">
      <c r="Q126" s="55" t="n"/>
    </row>
    <row r="127" ht="15.75" customHeight="1" s="67">
      <c r="Q127" s="55" t="n"/>
    </row>
    <row r="128" ht="15.75" customHeight="1" s="67">
      <c r="Q128" s="55" t="n"/>
    </row>
    <row r="129" ht="15.75" customHeight="1" s="67">
      <c r="Q129" s="55" t="n"/>
    </row>
    <row r="130" ht="15.75" customHeight="1" s="67">
      <c r="Q130" s="55" t="n"/>
    </row>
    <row r="131" ht="15.75" customHeight="1" s="67">
      <c r="Q131" s="55" t="n"/>
    </row>
    <row r="132" ht="15.75" customHeight="1" s="67">
      <c r="Q132" s="55" t="n"/>
    </row>
    <row r="133" ht="15.75" customHeight="1" s="67">
      <c r="Q133" s="55" t="n"/>
    </row>
    <row r="134" ht="15.75" customHeight="1" s="67">
      <c r="Q134" s="55" t="n"/>
    </row>
    <row r="135" ht="15.75" customHeight="1" s="67">
      <c r="Q135" s="55" t="n"/>
    </row>
    <row r="136" ht="15.75" customHeight="1" s="67">
      <c r="Q136" s="55" t="n"/>
    </row>
    <row r="137" ht="15.75" customHeight="1" s="67">
      <c r="Q137" s="55" t="n"/>
    </row>
    <row r="138" ht="15.75" customHeight="1" s="67">
      <c r="Q138" s="55" t="n"/>
    </row>
    <row r="139" ht="15.75" customHeight="1" s="67">
      <c r="Q139" s="55" t="n"/>
    </row>
    <row r="140" ht="15.75" customHeight="1" s="67">
      <c r="Q140" s="55" t="n"/>
    </row>
    <row r="141" ht="15.75" customHeight="1" s="67">
      <c r="Q141" s="55" t="n"/>
    </row>
    <row r="142" ht="15.75" customHeight="1" s="67">
      <c r="Q142" s="55" t="n"/>
    </row>
    <row r="143" ht="15.75" customHeight="1" s="67">
      <c r="Q143" s="55" t="n"/>
    </row>
    <row r="144" ht="15.75" customHeight="1" s="67">
      <c r="Q144" s="55" t="n"/>
    </row>
    <row r="145" ht="15.75" customHeight="1" s="67">
      <c r="Q145" s="55" t="n"/>
    </row>
    <row r="146" ht="15.75" customHeight="1" s="67">
      <c r="Q146" s="55" t="n"/>
    </row>
    <row r="147" ht="15.75" customHeight="1" s="67">
      <c r="Q147" s="55" t="n"/>
    </row>
    <row r="148" ht="15.75" customHeight="1" s="67">
      <c r="Q148" s="55" t="n"/>
    </row>
    <row r="149" ht="15.75" customHeight="1" s="67">
      <c r="Q149" s="55" t="n"/>
    </row>
    <row r="150" ht="15.75" customHeight="1" s="67">
      <c r="Q150" s="55" t="n"/>
    </row>
    <row r="151" ht="15.75" customHeight="1" s="67">
      <c r="Q151" s="55" t="n"/>
    </row>
    <row r="152" ht="15.75" customHeight="1" s="67">
      <c r="Q152" s="55" t="n"/>
    </row>
    <row r="153" ht="15.75" customHeight="1" s="67">
      <c r="Q153" s="55" t="n"/>
    </row>
    <row r="154" ht="15.75" customHeight="1" s="67">
      <c r="Q154" s="55" t="n"/>
    </row>
    <row r="155" ht="15.75" customHeight="1" s="67">
      <c r="Q155" s="55" t="n"/>
    </row>
    <row r="156" ht="15.75" customHeight="1" s="67">
      <c r="Q156" s="55" t="n"/>
    </row>
    <row r="157" ht="15.75" customHeight="1" s="67">
      <c r="Q157" s="55" t="n"/>
    </row>
    <row r="158" ht="15.75" customHeight="1" s="67">
      <c r="Q158" s="55" t="n"/>
    </row>
    <row r="159" ht="15.75" customHeight="1" s="67">
      <c r="Q159" s="55" t="n"/>
    </row>
    <row r="160" ht="15.75" customHeight="1" s="67">
      <c r="Q160" s="55" t="n"/>
    </row>
    <row r="161" ht="15.75" customHeight="1" s="67">
      <c r="Q161" s="55" t="n"/>
    </row>
    <row r="162" ht="15.75" customHeight="1" s="67">
      <c r="Q162" s="55" t="n"/>
    </row>
    <row r="163" ht="15.75" customHeight="1" s="67">
      <c r="Q163" s="55" t="n"/>
    </row>
    <row r="164" ht="15.75" customHeight="1" s="67">
      <c r="Q164" s="55" t="n"/>
    </row>
    <row r="165" ht="15.75" customHeight="1" s="67">
      <c r="Q165" s="55" t="n"/>
    </row>
    <row r="166" ht="15.75" customHeight="1" s="67">
      <c r="Q166" s="55" t="n"/>
    </row>
    <row r="167" ht="15.75" customHeight="1" s="67">
      <c r="Q167" s="55" t="n"/>
    </row>
    <row r="168" ht="15.75" customHeight="1" s="67">
      <c r="Q168" s="55" t="n"/>
    </row>
    <row r="169" ht="15.75" customHeight="1" s="67">
      <c r="Q169" s="55" t="n"/>
    </row>
    <row r="170" ht="15.75" customHeight="1" s="67">
      <c r="Q170" s="55" t="n"/>
    </row>
    <row r="171" ht="15.75" customHeight="1" s="67">
      <c r="Q171" s="55" t="n"/>
    </row>
    <row r="172" ht="15.75" customHeight="1" s="67">
      <c r="Q172" s="55" t="n"/>
    </row>
    <row r="173" ht="15.75" customHeight="1" s="67">
      <c r="Q173" s="55" t="n"/>
    </row>
    <row r="174" ht="15.75" customHeight="1" s="67">
      <c r="Q174" s="55" t="n"/>
    </row>
    <row r="175" ht="15.75" customHeight="1" s="67">
      <c r="Q175" s="55" t="n"/>
    </row>
    <row r="176" ht="15.75" customHeight="1" s="67">
      <c r="Q176" s="55" t="n"/>
    </row>
    <row r="177" ht="15.75" customHeight="1" s="67">
      <c r="Q177" s="55" t="n"/>
    </row>
    <row r="178" ht="15.75" customHeight="1" s="67">
      <c r="Q178" s="55" t="n"/>
    </row>
    <row r="179" ht="15.75" customHeight="1" s="67">
      <c r="Q179" s="55" t="n"/>
    </row>
    <row r="180" ht="15.75" customHeight="1" s="67">
      <c r="Q180" s="55" t="n"/>
    </row>
    <row r="181" ht="15.75" customHeight="1" s="67">
      <c r="Q181" s="55" t="n"/>
    </row>
    <row r="182" ht="15.75" customHeight="1" s="67">
      <c r="Q182" s="55" t="n"/>
    </row>
    <row r="183" ht="15.75" customHeight="1" s="67">
      <c r="Q183" s="55" t="n"/>
    </row>
    <row r="184" ht="15.75" customHeight="1" s="67">
      <c r="Q184" s="55" t="n"/>
    </row>
    <row r="185" ht="15.75" customHeight="1" s="67">
      <c r="Q185" s="55" t="n"/>
    </row>
    <row r="186" ht="15.75" customHeight="1" s="67">
      <c r="Q186" s="55" t="n"/>
    </row>
    <row r="187" ht="15.75" customHeight="1" s="67">
      <c r="Q187" s="55" t="n"/>
    </row>
    <row r="188" ht="15.75" customHeight="1" s="67">
      <c r="Q188" s="55" t="n"/>
    </row>
    <row r="189" ht="15.75" customHeight="1" s="67">
      <c r="Q189" s="55" t="n"/>
    </row>
    <row r="190" ht="15.75" customHeight="1" s="67">
      <c r="Q190" s="55" t="n"/>
    </row>
    <row r="191" ht="15.75" customHeight="1" s="67">
      <c r="Q191" s="55" t="n"/>
    </row>
    <row r="192" ht="15.75" customHeight="1" s="67">
      <c r="Q192" s="55" t="n"/>
    </row>
    <row r="193" ht="15.75" customHeight="1" s="67">
      <c r="Q193" s="55" t="n"/>
    </row>
    <row r="194" ht="15.75" customHeight="1" s="67">
      <c r="Q194" s="55" t="n"/>
    </row>
    <row r="195" ht="15.75" customHeight="1" s="67">
      <c r="Q195" s="55" t="n"/>
    </row>
    <row r="196" ht="15.75" customHeight="1" s="67">
      <c r="Q196" s="55" t="n"/>
    </row>
    <row r="197" ht="15.75" customHeight="1" s="67">
      <c r="Q197" s="55" t="n"/>
    </row>
    <row r="198" ht="15.75" customHeight="1" s="67">
      <c r="Q198" s="55" t="n"/>
    </row>
    <row r="199" ht="15.75" customHeight="1" s="67">
      <c r="Q199" s="55" t="n"/>
    </row>
    <row r="200" ht="15.75" customHeight="1" s="67">
      <c r="Q200" s="55" t="n"/>
    </row>
    <row r="201" ht="15.75" customHeight="1" s="67">
      <c r="Q201" s="55" t="n"/>
    </row>
    <row r="202" ht="15.75" customHeight="1" s="67">
      <c r="Q202" s="55" t="n"/>
    </row>
    <row r="203" ht="15.75" customHeight="1" s="67">
      <c r="Q203" s="55" t="n"/>
    </row>
    <row r="204" ht="15.75" customHeight="1" s="67">
      <c r="Q204" s="55" t="n"/>
    </row>
    <row r="205" ht="15.75" customHeight="1" s="67">
      <c r="Q205" s="55" t="n"/>
    </row>
    <row r="206" ht="15.75" customHeight="1" s="67">
      <c r="Q206" s="55" t="n"/>
    </row>
    <row r="207" ht="15.75" customHeight="1" s="67">
      <c r="Q207" s="55" t="n"/>
    </row>
    <row r="208" ht="15.75" customHeight="1" s="67">
      <c r="Q208" s="55" t="n"/>
    </row>
    <row r="209" ht="15.75" customHeight="1" s="67">
      <c r="Q209" s="55" t="n"/>
    </row>
    <row r="210" ht="15.75" customHeight="1" s="67">
      <c r="Q210" s="55" t="n"/>
    </row>
    <row r="211" ht="15.75" customHeight="1" s="67">
      <c r="Q211" s="55" t="n"/>
    </row>
    <row r="212" ht="15.75" customHeight="1" s="67">
      <c r="Q212" s="55" t="n"/>
    </row>
    <row r="213" ht="15.75" customHeight="1" s="67">
      <c r="Q213" s="55" t="n"/>
    </row>
    <row r="214" ht="15.75" customHeight="1" s="67">
      <c r="Q214" s="55" t="n"/>
    </row>
    <row r="215" ht="15.75" customHeight="1" s="67">
      <c r="Q215" s="55" t="n"/>
    </row>
    <row r="216" ht="15.75" customHeight="1" s="67">
      <c r="Q216" s="55" t="n"/>
    </row>
    <row r="217" ht="15.75" customHeight="1" s="67">
      <c r="Q217" s="55" t="n"/>
    </row>
    <row r="218" ht="15.75" customHeight="1" s="67">
      <c r="Q218" s="55" t="n"/>
    </row>
    <row r="219" ht="15.75" customHeight="1" s="67">
      <c r="Q219" s="55" t="n"/>
    </row>
    <row r="220" ht="15.75" customHeight="1" s="67">
      <c r="Q220" s="55" t="n"/>
    </row>
    <row r="221" ht="15.75" customHeight="1" s="67">
      <c r="Q221" s="55" t="n"/>
    </row>
    <row r="222" ht="15.75" customHeight="1" s="67">
      <c r="Q222" s="55" t="n"/>
    </row>
    <row r="223" ht="15.75" customHeight="1" s="67">
      <c r="Q223" s="55" t="n"/>
    </row>
    <row r="224" ht="15.75" customHeight="1" s="67">
      <c r="Q224" s="55" t="n"/>
    </row>
    <row r="225" ht="15.75" customHeight="1" s="67">
      <c r="Q225" s="55" t="n"/>
    </row>
    <row r="226" ht="15.75" customHeight="1" s="67">
      <c r="Q226" s="55" t="n"/>
    </row>
    <row r="227" ht="15.75" customHeight="1" s="67">
      <c r="Q227" s="55" t="n"/>
    </row>
    <row r="228" ht="15.75" customHeight="1" s="67">
      <c r="Q228" s="55" t="n"/>
    </row>
    <row r="229" ht="15.75" customHeight="1" s="67">
      <c r="Q229" s="55" t="n"/>
    </row>
    <row r="230" ht="15.75" customHeight="1" s="67">
      <c r="Q230" s="55" t="n"/>
    </row>
    <row r="231" ht="15.75" customHeight="1" s="67">
      <c r="Q231" s="55" t="n"/>
    </row>
    <row r="232" ht="15.75" customHeight="1" s="67">
      <c r="Q232" s="55" t="n"/>
    </row>
    <row r="233" ht="15.75" customHeight="1" s="67">
      <c r="Q233" s="55" t="n"/>
    </row>
    <row r="234" ht="15.75" customHeight="1" s="67">
      <c r="Q234" s="55" t="n"/>
    </row>
    <row r="235" ht="15.75" customHeight="1" s="67">
      <c r="Q235" s="55" t="n"/>
    </row>
    <row r="236" ht="15.75" customHeight="1" s="67">
      <c r="Q236" s="55" t="n"/>
    </row>
    <row r="237" ht="15.75" customHeight="1" s="67">
      <c r="Q237" s="55" t="n"/>
    </row>
    <row r="238" ht="15.75" customHeight="1" s="67">
      <c r="Q238" s="55" t="n"/>
    </row>
    <row r="239" ht="15.75" customHeight="1" s="67">
      <c r="Q239" s="55" t="n"/>
    </row>
    <row r="240" ht="15.75" customHeight="1" s="67">
      <c r="Q240" s="55" t="n"/>
    </row>
    <row r="241" ht="15.75" customHeight="1" s="67">
      <c r="Q241" s="55" t="n"/>
    </row>
    <row r="242" ht="15.75" customHeight="1" s="67">
      <c r="Q242" s="55" t="n"/>
    </row>
    <row r="243" ht="15.75" customHeight="1" s="67">
      <c r="Q243" s="55" t="n"/>
    </row>
    <row r="244" ht="15.75" customHeight="1" s="67">
      <c r="Q244" s="55" t="n"/>
    </row>
    <row r="245" ht="15.75" customHeight="1" s="67">
      <c r="Q245" s="55" t="n"/>
    </row>
    <row r="246" ht="15.75" customHeight="1" s="67">
      <c r="Q246" s="55" t="n"/>
    </row>
    <row r="247" ht="15.75" customHeight="1" s="67">
      <c r="Q247" s="55" t="n"/>
    </row>
    <row r="248" ht="15.75" customHeight="1" s="67">
      <c r="Q248" s="55" t="n"/>
    </row>
    <row r="249" ht="15.75" customHeight="1" s="67">
      <c r="Q249" s="55" t="n"/>
    </row>
    <row r="250" ht="15.75" customHeight="1" s="67">
      <c r="Q250" s="55" t="n"/>
    </row>
    <row r="251" ht="15.75" customHeight="1" s="67">
      <c r="Q251" s="55" t="n"/>
    </row>
    <row r="252" ht="15.75" customHeight="1" s="67">
      <c r="Q252" s="55" t="n"/>
    </row>
    <row r="253" ht="15.75" customHeight="1" s="67">
      <c r="Q253" s="55" t="n"/>
    </row>
    <row r="254" ht="15.75" customHeight="1" s="67">
      <c r="Q254" s="55" t="n"/>
    </row>
    <row r="255" ht="15.75" customHeight="1" s="67">
      <c r="Q255" s="55" t="n"/>
    </row>
    <row r="256" ht="15.75" customHeight="1" s="67">
      <c r="Q256" s="55" t="n"/>
    </row>
    <row r="257" ht="15.75" customHeight="1" s="67">
      <c r="Q257" s="55" t="n"/>
    </row>
    <row r="258" ht="15.75" customHeight="1" s="67">
      <c r="Q258" s="55" t="n"/>
    </row>
    <row r="259" ht="15.75" customHeight="1" s="67">
      <c r="Q259" s="55" t="n"/>
    </row>
    <row r="260" ht="15.75" customHeight="1" s="67">
      <c r="Q260" s="55" t="n"/>
    </row>
    <row r="261" ht="15.75" customHeight="1" s="67">
      <c r="Q261" s="55" t="n"/>
    </row>
    <row r="262" ht="15.75" customHeight="1" s="67">
      <c r="Q262" s="55" t="n"/>
    </row>
    <row r="263" ht="15.75" customHeight="1" s="67">
      <c r="Q263" s="55" t="n"/>
    </row>
    <row r="264" ht="15.75" customHeight="1" s="67">
      <c r="Q264" s="55" t="n"/>
    </row>
    <row r="265" ht="15.75" customHeight="1" s="67">
      <c r="Q265" s="55" t="n"/>
    </row>
    <row r="266" ht="15.75" customHeight="1" s="67">
      <c r="Q266" s="55" t="n"/>
    </row>
    <row r="267" ht="15.75" customHeight="1" s="67">
      <c r="Q267" s="55" t="n"/>
    </row>
    <row r="268" ht="15.75" customHeight="1" s="67">
      <c r="Q268" s="55" t="n"/>
    </row>
    <row r="269" ht="15.75" customHeight="1" s="67">
      <c r="Q269" s="55" t="n"/>
    </row>
    <row r="270" ht="15.75" customHeight="1" s="67">
      <c r="Q270" s="55" t="n"/>
    </row>
    <row r="271" ht="15.75" customHeight="1" s="67">
      <c r="Q271" s="55" t="n"/>
    </row>
    <row r="272" ht="15.75" customHeight="1" s="67">
      <c r="Q272" s="55" t="n"/>
    </row>
    <row r="273" ht="15.75" customHeight="1" s="67">
      <c r="Q273" s="55" t="n"/>
    </row>
    <row r="274" ht="15.75" customHeight="1" s="67">
      <c r="Q274" s="55" t="n"/>
    </row>
    <row r="275" ht="15.75" customHeight="1" s="67">
      <c r="Q275" s="55" t="n"/>
    </row>
    <row r="276" ht="15.75" customHeight="1" s="67">
      <c r="Q276" s="55" t="n"/>
    </row>
    <row r="277" ht="15.75" customHeight="1" s="67">
      <c r="Q277" s="55" t="n"/>
    </row>
    <row r="278" ht="15.75" customHeight="1" s="67">
      <c r="Q278" s="55" t="n"/>
    </row>
    <row r="279" ht="15.75" customHeight="1" s="67">
      <c r="Q279" s="55" t="n"/>
    </row>
    <row r="280" ht="15.75" customHeight="1" s="67">
      <c r="Q280" s="55" t="n"/>
    </row>
    <row r="281" ht="15.75" customHeight="1" s="67">
      <c r="Q281" s="55" t="n"/>
    </row>
    <row r="282" ht="15.75" customHeight="1" s="67">
      <c r="Q282" s="55" t="n"/>
    </row>
    <row r="283" ht="15.75" customHeight="1" s="67">
      <c r="Q283" s="55" t="n"/>
    </row>
    <row r="284" ht="15.75" customHeight="1" s="67">
      <c r="Q284" s="55" t="n"/>
    </row>
    <row r="285" ht="15.75" customHeight="1" s="67">
      <c r="Q285" s="55" t="n"/>
    </row>
    <row r="286" ht="15.75" customHeight="1" s="67">
      <c r="Q286" s="55" t="n"/>
    </row>
    <row r="287" ht="15.75" customHeight="1" s="67">
      <c r="Q287" s="55" t="n"/>
    </row>
    <row r="288" ht="15.75" customHeight="1" s="67">
      <c r="Q288" s="55" t="n"/>
    </row>
    <row r="289" ht="15.75" customHeight="1" s="67">
      <c r="Q289" s="55" t="n"/>
    </row>
    <row r="290" ht="15.75" customHeight="1" s="67">
      <c r="Q290" s="55" t="n"/>
    </row>
    <row r="291" ht="15.75" customHeight="1" s="67">
      <c r="Q291" s="55" t="n"/>
    </row>
    <row r="292" ht="15.75" customHeight="1" s="67">
      <c r="Q292" s="55" t="n"/>
    </row>
    <row r="293" ht="15.75" customHeight="1" s="67">
      <c r="Q293" s="55" t="n"/>
    </row>
    <row r="294" ht="15.75" customHeight="1" s="67">
      <c r="Q294" s="55" t="n"/>
    </row>
    <row r="295" ht="15.75" customHeight="1" s="67">
      <c r="Q295" s="55" t="n"/>
    </row>
    <row r="296" ht="15.75" customHeight="1" s="67">
      <c r="Q296" s="55" t="n"/>
    </row>
    <row r="297" ht="15.75" customHeight="1" s="67">
      <c r="Q297" s="55" t="n"/>
    </row>
    <row r="298" ht="15.75" customHeight="1" s="67">
      <c r="Q298" s="55" t="n"/>
    </row>
    <row r="299" ht="15.75" customHeight="1" s="67">
      <c r="Q299" s="55" t="n"/>
    </row>
    <row r="300" ht="15.75" customHeight="1" s="67">
      <c r="Q300" s="55" t="n"/>
    </row>
    <row r="301" ht="15.75" customHeight="1" s="67">
      <c r="Q301" s="55" t="n"/>
    </row>
    <row r="302" ht="15.75" customHeight="1" s="67">
      <c r="Q302" s="55" t="n"/>
    </row>
    <row r="303" ht="15.75" customHeight="1" s="67">
      <c r="Q303" s="55" t="n"/>
    </row>
    <row r="304" ht="15.75" customHeight="1" s="67">
      <c r="Q304" s="55" t="n"/>
    </row>
    <row r="305" ht="15.75" customHeight="1" s="67">
      <c r="Q305" s="55" t="n"/>
    </row>
    <row r="306" ht="15.75" customHeight="1" s="67">
      <c r="Q306" s="55" t="n"/>
    </row>
    <row r="307" ht="15.75" customHeight="1" s="67">
      <c r="Q307" s="55" t="n"/>
    </row>
    <row r="308" ht="15.75" customHeight="1" s="67">
      <c r="Q308" s="55" t="n"/>
    </row>
    <row r="309" ht="15.75" customHeight="1" s="67">
      <c r="Q309" s="55" t="n"/>
    </row>
    <row r="310" ht="15.75" customHeight="1" s="67">
      <c r="Q310" s="55" t="n"/>
    </row>
    <row r="311" ht="15.75" customHeight="1" s="67">
      <c r="Q311" s="55" t="n"/>
    </row>
    <row r="312" ht="15.75" customHeight="1" s="67">
      <c r="Q312" s="55" t="n"/>
    </row>
    <row r="313" ht="15.75" customHeight="1" s="67">
      <c r="Q313" s="55" t="n"/>
    </row>
    <row r="314" ht="15.75" customHeight="1" s="67">
      <c r="Q314" s="55" t="n"/>
    </row>
    <row r="315" ht="15.75" customHeight="1" s="67">
      <c r="Q315" s="55" t="n"/>
    </row>
    <row r="316" ht="15.75" customHeight="1" s="67">
      <c r="Q316" s="55" t="n"/>
    </row>
    <row r="317" ht="15.75" customHeight="1" s="67">
      <c r="Q317" s="55" t="n"/>
    </row>
    <row r="318" ht="15.75" customHeight="1" s="67">
      <c r="Q318" s="55" t="n"/>
    </row>
    <row r="319" ht="15.75" customHeight="1" s="67">
      <c r="Q319" s="55" t="n"/>
    </row>
    <row r="320" ht="15.75" customHeight="1" s="67">
      <c r="Q320" s="55" t="n"/>
    </row>
    <row r="321" ht="15.75" customHeight="1" s="67">
      <c r="Q321" s="55" t="n"/>
    </row>
    <row r="322" ht="15.75" customHeight="1" s="67">
      <c r="Q322" s="55" t="n"/>
    </row>
    <row r="323" ht="15.75" customHeight="1" s="67">
      <c r="Q323" s="55" t="n"/>
    </row>
    <row r="324" ht="15.75" customHeight="1" s="67">
      <c r="Q324" s="55" t="n"/>
    </row>
    <row r="325" ht="15.75" customHeight="1" s="67">
      <c r="Q325" s="55" t="n"/>
    </row>
    <row r="326" ht="15.75" customHeight="1" s="67">
      <c r="Q326" s="55" t="n"/>
    </row>
    <row r="327" ht="15.75" customHeight="1" s="67">
      <c r="Q327" s="55" t="n"/>
    </row>
    <row r="328" ht="15.75" customHeight="1" s="67">
      <c r="Q328" s="55" t="n"/>
    </row>
    <row r="329" ht="15.75" customHeight="1" s="67">
      <c r="Q329" s="55" t="n"/>
    </row>
    <row r="330" ht="15.75" customHeight="1" s="67">
      <c r="Q330" s="55" t="n"/>
    </row>
    <row r="331" ht="15.75" customHeight="1" s="67">
      <c r="Q331" s="55" t="n"/>
    </row>
    <row r="332" ht="15.75" customHeight="1" s="67">
      <c r="Q332" s="55" t="n"/>
    </row>
    <row r="333" ht="15.75" customHeight="1" s="67">
      <c r="Q333" s="55" t="n"/>
    </row>
    <row r="334" ht="15.75" customHeight="1" s="67">
      <c r="Q334" s="55" t="n"/>
    </row>
    <row r="335" ht="15.75" customHeight="1" s="67">
      <c r="Q335" s="55" t="n"/>
    </row>
    <row r="336" ht="15.75" customHeight="1" s="67">
      <c r="Q336" s="55" t="n"/>
    </row>
    <row r="337" ht="15.75" customHeight="1" s="67">
      <c r="Q337" s="55" t="n"/>
    </row>
    <row r="338" ht="15.75" customHeight="1" s="67">
      <c r="Q338" s="55" t="n"/>
    </row>
    <row r="339" ht="15.75" customHeight="1" s="67">
      <c r="Q339" s="55" t="n"/>
    </row>
    <row r="340" ht="15.75" customHeight="1" s="67">
      <c r="Q340" s="55" t="n"/>
    </row>
    <row r="341" ht="15.75" customHeight="1" s="67">
      <c r="Q341" s="55" t="n"/>
    </row>
    <row r="342" ht="15.75" customHeight="1" s="67">
      <c r="Q342" s="55" t="n"/>
    </row>
    <row r="343" ht="15.75" customHeight="1" s="67">
      <c r="Q343" s="55" t="n"/>
    </row>
    <row r="344" ht="15.75" customHeight="1" s="67">
      <c r="Q344" s="55" t="n"/>
    </row>
    <row r="345" ht="15.75" customHeight="1" s="67">
      <c r="Q345" s="55" t="n"/>
    </row>
    <row r="346" ht="15.75" customHeight="1" s="67">
      <c r="Q346" s="55" t="n"/>
    </row>
    <row r="347" ht="15.75" customHeight="1" s="67">
      <c r="Q347" s="55" t="n"/>
    </row>
    <row r="348" ht="15.75" customHeight="1" s="67">
      <c r="Q348" s="55" t="n"/>
    </row>
    <row r="349" ht="15.75" customHeight="1" s="67">
      <c r="Q349" s="55" t="n"/>
    </row>
    <row r="350" ht="15.75" customHeight="1" s="67">
      <c r="Q350" s="55" t="n"/>
    </row>
    <row r="351" ht="15.75" customHeight="1" s="67">
      <c r="Q351" s="55" t="n"/>
    </row>
    <row r="352" ht="15.75" customHeight="1" s="67">
      <c r="Q352" s="55" t="n"/>
    </row>
    <row r="353" ht="15.75" customHeight="1" s="67">
      <c r="Q353" s="55" t="n"/>
    </row>
    <row r="354" ht="15.75" customHeight="1" s="67">
      <c r="Q354" s="55" t="n"/>
    </row>
    <row r="355" ht="15.75" customHeight="1" s="67">
      <c r="Q355" s="55" t="n"/>
    </row>
    <row r="356" ht="15.75" customHeight="1" s="67">
      <c r="Q356" s="55" t="n"/>
    </row>
    <row r="357" ht="15.75" customHeight="1" s="67">
      <c r="Q357" s="55" t="n"/>
    </row>
    <row r="358" ht="15.75" customHeight="1" s="67">
      <c r="Q358" s="55" t="n"/>
    </row>
    <row r="359" ht="15.75" customHeight="1" s="67">
      <c r="Q359" s="55" t="n"/>
    </row>
    <row r="360" ht="15.75" customHeight="1" s="67">
      <c r="Q360" s="55" t="n"/>
    </row>
    <row r="361" ht="15.75" customHeight="1" s="67">
      <c r="Q361" s="55" t="n"/>
    </row>
    <row r="362" ht="15.75" customHeight="1" s="67">
      <c r="Q362" s="55" t="n"/>
    </row>
    <row r="363" ht="15.75" customHeight="1" s="67">
      <c r="Q363" s="55" t="n"/>
    </row>
    <row r="364" ht="15.75" customHeight="1" s="67">
      <c r="Q364" s="55" t="n"/>
    </row>
    <row r="365" ht="15.75" customHeight="1" s="67">
      <c r="Q365" s="55" t="n"/>
    </row>
    <row r="366" ht="15.75" customHeight="1" s="67">
      <c r="Q366" s="55" t="n"/>
    </row>
    <row r="367" ht="15.75" customHeight="1" s="67">
      <c r="Q367" s="55" t="n"/>
    </row>
    <row r="368" ht="15.75" customHeight="1" s="67">
      <c r="Q368" s="55" t="n"/>
    </row>
    <row r="369" ht="15.75" customHeight="1" s="67">
      <c r="Q369" s="55" t="n"/>
    </row>
    <row r="370" ht="15.75" customHeight="1" s="67">
      <c r="Q370" s="55" t="n"/>
    </row>
    <row r="371" ht="15.75" customHeight="1" s="67">
      <c r="Q371" s="55" t="n"/>
    </row>
    <row r="372" ht="15.75" customHeight="1" s="67">
      <c r="Q372" s="55" t="n"/>
    </row>
    <row r="373" ht="15.75" customHeight="1" s="67">
      <c r="Q373" s="55" t="n"/>
    </row>
    <row r="374" ht="15.75" customHeight="1" s="67">
      <c r="Q374" s="55" t="n"/>
    </row>
    <row r="375" ht="15.75" customHeight="1" s="67">
      <c r="Q375" s="55" t="n"/>
    </row>
    <row r="376" ht="15.75" customHeight="1" s="67">
      <c r="Q376" s="55" t="n"/>
    </row>
    <row r="377" ht="15.75" customHeight="1" s="67">
      <c r="Q377" s="55" t="n"/>
    </row>
    <row r="378" ht="15.75" customHeight="1" s="67">
      <c r="Q378" s="55" t="n"/>
    </row>
    <row r="379" ht="15.75" customHeight="1" s="67">
      <c r="Q379" s="55" t="n"/>
    </row>
    <row r="380" ht="15.75" customHeight="1" s="67">
      <c r="Q380" s="55" t="n"/>
    </row>
    <row r="381" ht="15.75" customHeight="1" s="67">
      <c r="Q381" s="55" t="n"/>
    </row>
    <row r="382" ht="15.75" customHeight="1" s="67">
      <c r="Q382" s="55" t="n"/>
    </row>
    <row r="383" ht="15.75" customHeight="1" s="67">
      <c r="Q383" s="55" t="n"/>
    </row>
    <row r="384" ht="15.75" customHeight="1" s="67">
      <c r="Q384" s="55" t="n"/>
    </row>
    <row r="385" ht="15.75" customHeight="1" s="67">
      <c r="Q385" s="55" t="n"/>
    </row>
    <row r="386" ht="15.75" customHeight="1" s="67">
      <c r="Q386" s="55" t="n"/>
    </row>
    <row r="387" ht="15.75" customHeight="1" s="67">
      <c r="Q387" s="55" t="n"/>
    </row>
    <row r="388" ht="15.75" customHeight="1" s="67">
      <c r="Q388" s="55" t="n"/>
    </row>
    <row r="389" ht="15.75" customHeight="1" s="67">
      <c r="Q389" s="55" t="n"/>
    </row>
    <row r="390" ht="15.75" customHeight="1" s="67">
      <c r="Q390" s="55" t="n"/>
    </row>
    <row r="391" ht="15.75" customHeight="1" s="67">
      <c r="Q391" s="55" t="n"/>
    </row>
    <row r="392" ht="15.75" customHeight="1" s="67">
      <c r="Q392" s="55" t="n"/>
    </row>
    <row r="393" ht="15.75" customHeight="1" s="67">
      <c r="Q393" s="55" t="n"/>
    </row>
    <row r="394" ht="15.75" customHeight="1" s="67">
      <c r="Q394" s="55" t="n"/>
    </row>
    <row r="395" ht="15.75" customHeight="1" s="67">
      <c r="Q395" s="55" t="n"/>
    </row>
    <row r="396" ht="15.75" customHeight="1" s="67">
      <c r="Q396" s="55" t="n"/>
    </row>
    <row r="397" ht="15.75" customHeight="1" s="67">
      <c r="Q397" s="55" t="n"/>
    </row>
    <row r="398" ht="15.75" customHeight="1" s="67">
      <c r="Q398" s="55" t="n"/>
    </row>
    <row r="399" ht="15.75" customHeight="1" s="67">
      <c r="Q399" s="55" t="n"/>
    </row>
    <row r="400" ht="15.75" customHeight="1" s="67">
      <c r="Q400" s="55" t="n"/>
    </row>
    <row r="401" ht="15.75" customHeight="1" s="67">
      <c r="Q401" s="55" t="n"/>
    </row>
    <row r="402" ht="15.75" customHeight="1" s="67">
      <c r="Q402" s="55" t="n"/>
    </row>
    <row r="403" ht="15.75" customHeight="1" s="67">
      <c r="Q403" s="55" t="n"/>
    </row>
    <row r="404" ht="15.75" customHeight="1" s="67">
      <c r="Q404" s="55" t="n"/>
    </row>
    <row r="405" ht="15.75" customHeight="1" s="67">
      <c r="Q405" s="55" t="n"/>
    </row>
    <row r="406" ht="15.75" customHeight="1" s="67">
      <c r="Q406" s="55" t="n"/>
    </row>
    <row r="407" ht="15.75" customHeight="1" s="67">
      <c r="Q407" s="55" t="n"/>
    </row>
    <row r="408" ht="15.75" customHeight="1" s="67">
      <c r="Q408" s="55" t="n"/>
    </row>
    <row r="409" ht="15.75" customHeight="1" s="67">
      <c r="Q409" s="55" t="n"/>
    </row>
    <row r="410" ht="15.75" customHeight="1" s="67">
      <c r="Q410" s="55" t="n"/>
    </row>
    <row r="411" ht="15.75" customHeight="1" s="67">
      <c r="Q411" s="55" t="n"/>
    </row>
    <row r="412" ht="15.75" customHeight="1" s="67">
      <c r="Q412" s="55" t="n"/>
    </row>
    <row r="413" ht="15.75" customHeight="1" s="67">
      <c r="Q413" s="55" t="n"/>
    </row>
    <row r="414" ht="15.75" customHeight="1" s="67">
      <c r="Q414" s="55" t="n"/>
    </row>
    <row r="415" ht="15.75" customHeight="1" s="67">
      <c r="Q415" s="55" t="n"/>
    </row>
    <row r="416" ht="15.75" customHeight="1" s="67">
      <c r="Q416" s="55" t="n"/>
    </row>
    <row r="417" ht="15.75" customHeight="1" s="67">
      <c r="Q417" s="55" t="n"/>
    </row>
    <row r="418" ht="15.75" customHeight="1" s="67">
      <c r="Q418" s="55" t="n"/>
    </row>
    <row r="419" ht="15.75" customHeight="1" s="67">
      <c r="Q419" s="55" t="n"/>
    </row>
    <row r="420" ht="15.75" customHeight="1" s="67">
      <c r="Q420" s="55" t="n"/>
    </row>
    <row r="421" ht="15.75" customHeight="1" s="67">
      <c r="Q421" s="55" t="n"/>
    </row>
    <row r="422" ht="15.75" customHeight="1" s="67">
      <c r="Q422" s="55" t="n"/>
    </row>
    <row r="423" ht="15.75" customHeight="1" s="67">
      <c r="Q423" s="55" t="n"/>
    </row>
    <row r="424" ht="15.75" customHeight="1" s="67">
      <c r="Q424" s="55" t="n"/>
    </row>
    <row r="425" ht="15.75" customHeight="1" s="67">
      <c r="Q425" s="55" t="n"/>
    </row>
    <row r="426" ht="15.75" customHeight="1" s="67">
      <c r="Q426" s="55" t="n"/>
    </row>
    <row r="427" ht="15.75" customHeight="1" s="67">
      <c r="Q427" s="55" t="n"/>
    </row>
    <row r="428" ht="15.75" customHeight="1" s="67">
      <c r="Q428" s="55" t="n"/>
    </row>
    <row r="429" ht="15.75" customHeight="1" s="67">
      <c r="Q429" s="55" t="n"/>
    </row>
    <row r="430" ht="15.75" customHeight="1" s="67">
      <c r="Q430" s="55" t="n"/>
    </row>
    <row r="431" ht="15.75" customHeight="1" s="67">
      <c r="Q431" s="55" t="n"/>
    </row>
    <row r="432" ht="15.75" customHeight="1" s="67">
      <c r="Q432" s="55" t="n"/>
    </row>
    <row r="433" ht="15.75" customHeight="1" s="67">
      <c r="Q433" s="55" t="n"/>
    </row>
    <row r="434" ht="15.75" customHeight="1" s="67">
      <c r="Q434" s="55" t="n"/>
    </row>
    <row r="435" ht="15.75" customHeight="1" s="67">
      <c r="Q435" s="55" t="n"/>
    </row>
    <row r="436" ht="15.75" customHeight="1" s="67">
      <c r="Q436" s="55" t="n"/>
    </row>
    <row r="437" ht="15.75" customHeight="1" s="67">
      <c r="Q437" s="55" t="n"/>
    </row>
    <row r="438" ht="15.75" customHeight="1" s="67">
      <c r="Q438" s="55" t="n"/>
    </row>
    <row r="439" ht="15.75" customHeight="1" s="67">
      <c r="Q439" s="55" t="n"/>
    </row>
    <row r="440" ht="15.75" customHeight="1" s="67">
      <c r="Q440" s="55" t="n"/>
    </row>
    <row r="441" ht="15.75" customHeight="1" s="67">
      <c r="Q441" s="55" t="n"/>
    </row>
    <row r="442" ht="15.75" customHeight="1" s="67">
      <c r="Q442" s="55" t="n"/>
    </row>
    <row r="443" ht="15.75" customHeight="1" s="67">
      <c r="Q443" s="55" t="n"/>
    </row>
    <row r="444" ht="15.75" customHeight="1" s="67">
      <c r="Q444" s="55" t="n"/>
    </row>
    <row r="445" ht="15.75" customHeight="1" s="67">
      <c r="Q445" s="55" t="n"/>
    </row>
    <row r="446" ht="15.75" customHeight="1" s="67">
      <c r="Q446" s="55" t="n"/>
    </row>
    <row r="447" ht="15.75" customHeight="1" s="67">
      <c r="Q447" s="55" t="n"/>
    </row>
    <row r="448" ht="15.75" customHeight="1" s="67">
      <c r="Q448" s="55" t="n"/>
    </row>
    <row r="449" ht="15.75" customHeight="1" s="67">
      <c r="Q449" s="55" t="n"/>
    </row>
    <row r="450" ht="15.75" customHeight="1" s="67">
      <c r="Q450" s="55" t="n"/>
    </row>
    <row r="451" ht="15.75" customHeight="1" s="67">
      <c r="Q451" s="55" t="n"/>
    </row>
    <row r="452" ht="15.75" customHeight="1" s="67">
      <c r="Q452" s="55" t="n"/>
    </row>
    <row r="453" ht="15.75" customHeight="1" s="67">
      <c r="Q453" s="55" t="n"/>
    </row>
    <row r="454" ht="15.75" customHeight="1" s="67">
      <c r="Q454" s="55" t="n"/>
    </row>
    <row r="455" ht="15.75" customHeight="1" s="67">
      <c r="Q455" s="55" t="n"/>
    </row>
    <row r="456" ht="15.75" customHeight="1" s="67">
      <c r="Q456" s="55" t="n"/>
    </row>
    <row r="457" ht="15.75" customHeight="1" s="67">
      <c r="Q457" s="55" t="n"/>
    </row>
    <row r="458" ht="15.75" customHeight="1" s="67">
      <c r="Q458" s="55" t="n"/>
    </row>
    <row r="459" ht="15.75" customHeight="1" s="67">
      <c r="Q459" s="55" t="n"/>
    </row>
    <row r="460" ht="15.75" customHeight="1" s="67">
      <c r="Q460" s="55" t="n"/>
    </row>
    <row r="461" ht="15.75" customHeight="1" s="67">
      <c r="Q461" s="55" t="n"/>
    </row>
    <row r="462" ht="15.75" customHeight="1" s="67">
      <c r="Q462" s="55" t="n"/>
    </row>
    <row r="463" ht="15.75" customHeight="1" s="67">
      <c r="Q463" s="55" t="n"/>
    </row>
    <row r="464" ht="15.75" customHeight="1" s="67">
      <c r="Q464" s="55" t="n"/>
    </row>
    <row r="465" ht="15.75" customHeight="1" s="67">
      <c r="Q465" s="55" t="n"/>
    </row>
    <row r="466" ht="15.75" customHeight="1" s="67">
      <c r="Q466" s="55" t="n"/>
    </row>
    <row r="467" ht="15.75" customHeight="1" s="67">
      <c r="Q467" s="55" t="n"/>
    </row>
    <row r="468" ht="15.75" customHeight="1" s="67">
      <c r="Q468" s="55" t="n"/>
    </row>
    <row r="469" ht="15.75" customHeight="1" s="67">
      <c r="Q469" s="55" t="n"/>
    </row>
    <row r="470" ht="15.75" customHeight="1" s="67">
      <c r="Q470" s="55" t="n"/>
    </row>
    <row r="471" ht="15.75" customHeight="1" s="67">
      <c r="Q471" s="55" t="n"/>
    </row>
    <row r="472" ht="15.75" customHeight="1" s="67">
      <c r="Q472" s="55" t="n"/>
    </row>
    <row r="473" ht="15.75" customHeight="1" s="67">
      <c r="Q473" s="55" t="n"/>
    </row>
    <row r="474" ht="15.75" customHeight="1" s="67">
      <c r="Q474" s="55" t="n"/>
    </row>
    <row r="475" ht="15.75" customHeight="1" s="67">
      <c r="Q475" s="55" t="n"/>
    </row>
    <row r="476" ht="15.75" customHeight="1" s="67">
      <c r="Q476" s="55" t="n"/>
    </row>
    <row r="477" ht="15.75" customHeight="1" s="67">
      <c r="Q477" s="55" t="n"/>
    </row>
    <row r="478" ht="15.75" customHeight="1" s="67">
      <c r="Q478" s="55" t="n"/>
    </row>
    <row r="479" ht="15.75" customHeight="1" s="67">
      <c r="Q479" s="55" t="n"/>
    </row>
    <row r="480" ht="15.75" customHeight="1" s="67">
      <c r="Q480" s="55" t="n"/>
    </row>
    <row r="481" ht="15.75" customHeight="1" s="67">
      <c r="Q481" s="55" t="n"/>
    </row>
    <row r="482" ht="15.75" customHeight="1" s="67">
      <c r="Q482" s="55" t="n"/>
    </row>
    <row r="483" ht="15.75" customHeight="1" s="67">
      <c r="Q483" s="55" t="n"/>
    </row>
    <row r="484" ht="15.75" customHeight="1" s="67">
      <c r="Q484" s="55" t="n"/>
    </row>
    <row r="485" ht="15.75" customHeight="1" s="67">
      <c r="Q485" s="55" t="n"/>
    </row>
    <row r="486" ht="15.75" customHeight="1" s="67">
      <c r="Q486" s="55" t="n"/>
    </row>
    <row r="487" ht="15.75" customHeight="1" s="67">
      <c r="Q487" s="55" t="n"/>
    </row>
    <row r="488" ht="15.75" customHeight="1" s="67">
      <c r="Q488" s="55" t="n"/>
    </row>
    <row r="489" ht="15.75" customHeight="1" s="67">
      <c r="Q489" s="55" t="n"/>
    </row>
    <row r="490" ht="15.75" customHeight="1" s="67">
      <c r="Q490" s="55" t="n"/>
    </row>
    <row r="491" ht="15.75" customHeight="1" s="67">
      <c r="Q491" s="55" t="n"/>
    </row>
    <row r="492" ht="15.75" customHeight="1" s="67">
      <c r="Q492" s="55" t="n"/>
    </row>
    <row r="493" ht="15.75" customHeight="1" s="67">
      <c r="Q493" s="55" t="n"/>
    </row>
    <row r="494" ht="15.75" customHeight="1" s="67">
      <c r="Q494" s="55" t="n"/>
    </row>
    <row r="495" ht="15.75" customHeight="1" s="67">
      <c r="Q495" s="55" t="n"/>
    </row>
    <row r="496" ht="15.75" customHeight="1" s="67">
      <c r="Q496" s="55" t="n"/>
    </row>
    <row r="497" ht="15.75" customHeight="1" s="67">
      <c r="Q497" s="55" t="n"/>
    </row>
    <row r="498" ht="15.75" customHeight="1" s="67">
      <c r="Q498" s="55" t="n"/>
    </row>
    <row r="499" ht="15.75" customHeight="1" s="67">
      <c r="Q499" s="55" t="n"/>
    </row>
    <row r="500" ht="15.75" customHeight="1" s="67">
      <c r="Q500" s="55" t="n"/>
    </row>
    <row r="501" ht="15.75" customHeight="1" s="67">
      <c r="Q501" s="55" t="n"/>
    </row>
    <row r="502" ht="15.75" customHeight="1" s="67">
      <c r="Q502" s="55" t="n"/>
    </row>
    <row r="503" ht="15.75" customHeight="1" s="67">
      <c r="Q503" s="55" t="n"/>
    </row>
    <row r="504" ht="15.75" customHeight="1" s="67">
      <c r="Q504" s="55" t="n"/>
    </row>
    <row r="505" ht="15.75" customHeight="1" s="67">
      <c r="Q505" s="55" t="n"/>
    </row>
    <row r="506" ht="15.75" customHeight="1" s="67">
      <c r="Q506" s="55" t="n"/>
    </row>
    <row r="507" ht="15.75" customHeight="1" s="67">
      <c r="Q507" s="55" t="n"/>
    </row>
    <row r="508" ht="15.75" customHeight="1" s="67">
      <c r="Q508" s="55" t="n"/>
    </row>
    <row r="509" ht="15.75" customHeight="1" s="67">
      <c r="Q509" s="55" t="n"/>
    </row>
    <row r="510" ht="15.75" customHeight="1" s="67">
      <c r="Q510" s="55" t="n"/>
    </row>
    <row r="511" ht="15.75" customHeight="1" s="67">
      <c r="Q511" s="55" t="n"/>
    </row>
    <row r="512" ht="15.75" customHeight="1" s="67">
      <c r="Q512" s="55" t="n"/>
    </row>
    <row r="513" ht="15.75" customHeight="1" s="67">
      <c r="Q513" s="55" t="n"/>
    </row>
    <row r="514" ht="15.75" customHeight="1" s="67">
      <c r="Q514" s="55" t="n"/>
    </row>
    <row r="515" ht="15.75" customHeight="1" s="67">
      <c r="Q515" s="55" t="n"/>
    </row>
    <row r="516" ht="15.75" customHeight="1" s="67">
      <c r="Q516" s="55" t="n"/>
    </row>
    <row r="517" ht="15.75" customHeight="1" s="67">
      <c r="Q517" s="55" t="n"/>
    </row>
    <row r="518" ht="15.75" customHeight="1" s="67">
      <c r="Q518" s="55" t="n"/>
    </row>
    <row r="519" ht="15.75" customHeight="1" s="67">
      <c r="Q519" s="55" t="n"/>
    </row>
    <row r="520" ht="15.75" customHeight="1" s="67">
      <c r="Q520" s="55" t="n"/>
    </row>
    <row r="521" ht="15.75" customHeight="1" s="67">
      <c r="Q521" s="55" t="n"/>
    </row>
    <row r="522" ht="15.75" customHeight="1" s="67">
      <c r="Q522" s="55" t="n"/>
    </row>
    <row r="523" ht="15.75" customHeight="1" s="67">
      <c r="Q523" s="55" t="n"/>
    </row>
    <row r="524" ht="15.75" customHeight="1" s="67">
      <c r="Q524" s="55" t="n"/>
    </row>
    <row r="525" ht="15.75" customHeight="1" s="67">
      <c r="Q525" s="55" t="n"/>
    </row>
    <row r="526" ht="15.75" customHeight="1" s="67">
      <c r="Q526" s="55" t="n"/>
    </row>
    <row r="527" ht="15.75" customHeight="1" s="67">
      <c r="Q527" s="55" t="n"/>
    </row>
    <row r="528" ht="15.75" customHeight="1" s="67">
      <c r="Q528" s="55" t="n"/>
    </row>
    <row r="529" ht="15.75" customHeight="1" s="67">
      <c r="Q529" s="55" t="n"/>
    </row>
    <row r="530" ht="15.75" customHeight="1" s="67">
      <c r="Q530" s="55" t="n"/>
    </row>
    <row r="531" ht="15.75" customHeight="1" s="67">
      <c r="Q531" s="55" t="n"/>
    </row>
    <row r="532" ht="15.75" customHeight="1" s="67">
      <c r="Q532" s="55" t="n"/>
    </row>
    <row r="533" ht="15.75" customHeight="1" s="67">
      <c r="Q533" s="55" t="n"/>
    </row>
    <row r="534" ht="15.75" customHeight="1" s="67">
      <c r="Q534" s="55" t="n"/>
    </row>
    <row r="535" ht="15.75" customHeight="1" s="67">
      <c r="Q535" s="55" t="n"/>
    </row>
    <row r="536" ht="15.75" customHeight="1" s="67">
      <c r="Q536" s="55" t="n"/>
    </row>
    <row r="537" ht="15.75" customHeight="1" s="67">
      <c r="Q537" s="55" t="n"/>
    </row>
    <row r="538" ht="15.75" customHeight="1" s="67">
      <c r="Q538" s="55" t="n"/>
    </row>
    <row r="539" ht="15.75" customHeight="1" s="67">
      <c r="Q539" s="55" t="n"/>
    </row>
    <row r="540" ht="15.75" customHeight="1" s="67">
      <c r="Q540" s="55" t="n"/>
    </row>
    <row r="541" ht="15.75" customHeight="1" s="67">
      <c r="Q541" s="55" t="n"/>
    </row>
    <row r="542" ht="15.75" customHeight="1" s="67">
      <c r="Q542" s="55" t="n"/>
    </row>
    <row r="543" ht="15.75" customHeight="1" s="67">
      <c r="Q543" s="55" t="n"/>
    </row>
    <row r="544" ht="15.75" customHeight="1" s="67">
      <c r="Q544" s="55" t="n"/>
    </row>
    <row r="545" ht="15.75" customHeight="1" s="67">
      <c r="Q545" s="55" t="n"/>
    </row>
    <row r="546" ht="15.75" customHeight="1" s="67">
      <c r="Q546" s="55" t="n"/>
    </row>
    <row r="547" ht="15.75" customHeight="1" s="67">
      <c r="Q547" s="55" t="n"/>
    </row>
    <row r="548" ht="15.75" customHeight="1" s="67">
      <c r="Q548" s="55" t="n"/>
    </row>
    <row r="549" ht="15.75" customHeight="1" s="67">
      <c r="Q549" s="55" t="n"/>
    </row>
    <row r="550" ht="15.75" customHeight="1" s="67">
      <c r="Q550" s="55" t="n"/>
    </row>
    <row r="551" ht="15.75" customHeight="1" s="67">
      <c r="Q551" s="55" t="n"/>
    </row>
    <row r="552" ht="15.75" customHeight="1" s="67">
      <c r="Q552" s="55" t="n"/>
    </row>
    <row r="553" ht="15.75" customHeight="1" s="67">
      <c r="Q553" s="55" t="n"/>
    </row>
    <row r="554" ht="15.75" customHeight="1" s="67">
      <c r="Q554" s="55" t="n"/>
    </row>
    <row r="555" ht="15.75" customHeight="1" s="67">
      <c r="Q555" s="55" t="n"/>
    </row>
    <row r="556" ht="15.75" customHeight="1" s="67">
      <c r="Q556" s="55" t="n"/>
    </row>
    <row r="557" ht="15.75" customHeight="1" s="67">
      <c r="Q557" s="55" t="n"/>
    </row>
    <row r="558" ht="15.75" customHeight="1" s="67">
      <c r="Q558" s="55" t="n"/>
    </row>
    <row r="559" ht="15.75" customHeight="1" s="67">
      <c r="Q559" s="55" t="n"/>
    </row>
    <row r="560" ht="15.75" customHeight="1" s="67">
      <c r="Q560" s="55" t="n"/>
    </row>
    <row r="561" ht="15.75" customHeight="1" s="67">
      <c r="Q561" s="55" t="n"/>
    </row>
    <row r="562" ht="15.75" customHeight="1" s="67">
      <c r="Q562" s="55" t="n"/>
    </row>
    <row r="563" ht="15.75" customHeight="1" s="67">
      <c r="Q563" s="55" t="n"/>
    </row>
    <row r="564" ht="15.75" customHeight="1" s="67">
      <c r="Q564" s="55" t="n"/>
    </row>
    <row r="565" ht="15.75" customHeight="1" s="67">
      <c r="Q565" s="55" t="n"/>
    </row>
    <row r="566" ht="15.75" customHeight="1" s="67">
      <c r="Q566" s="55" t="n"/>
    </row>
    <row r="567" ht="15.75" customHeight="1" s="67">
      <c r="Q567" s="55" t="n"/>
    </row>
    <row r="568" ht="15.75" customHeight="1" s="67">
      <c r="Q568" s="55" t="n"/>
    </row>
    <row r="569" ht="15.75" customHeight="1" s="67">
      <c r="Q569" s="55" t="n"/>
    </row>
    <row r="570" ht="15.75" customHeight="1" s="67">
      <c r="Q570" s="55" t="n"/>
    </row>
    <row r="571" ht="15.75" customHeight="1" s="67">
      <c r="Q571" s="55" t="n"/>
    </row>
    <row r="572" ht="15.75" customHeight="1" s="67">
      <c r="Q572" s="55" t="n"/>
    </row>
    <row r="573" ht="15.75" customHeight="1" s="67">
      <c r="Q573" s="55" t="n"/>
    </row>
    <row r="574" ht="15.75" customHeight="1" s="67">
      <c r="Q574" s="55" t="n"/>
    </row>
    <row r="575" ht="15.75" customHeight="1" s="67">
      <c r="Q575" s="55" t="n"/>
    </row>
    <row r="576" ht="15.75" customHeight="1" s="67">
      <c r="Q576" s="55" t="n"/>
    </row>
    <row r="577" ht="15.75" customHeight="1" s="67">
      <c r="Q577" s="55" t="n"/>
    </row>
    <row r="578" ht="15.75" customHeight="1" s="67">
      <c r="Q578" s="55" t="n"/>
    </row>
    <row r="579" ht="15.75" customHeight="1" s="67">
      <c r="Q579" s="55" t="n"/>
    </row>
    <row r="580" ht="15.75" customHeight="1" s="67">
      <c r="Q580" s="55" t="n"/>
    </row>
    <row r="581" ht="15.75" customHeight="1" s="67">
      <c r="Q581" s="55" t="n"/>
    </row>
    <row r="582" ht="15.75" customHeight="1" s="67">
      <c r="Q582" s="55" t="n"/>
    </row>
    <row r="583" ht="15.75" customHeight="1" s="67">
      <c r="Q583" s="55" t="n"/>
    </row>
    <row r="584" ht="15.75" customHeight="1" s="67">
      <c r="Q584" s="55" t="n"/>
    </row>
    <row r="585" ht="15.75" customHeight="1" s="67">
      <c r="Q585" s="55" t="n"/>
    </row>
    <row r="586" ht="15.75" customHeight="1" s="67">
      <c r="Q586" s="55" t="n"/>
    </row>
    <row r="587" ht="15.75" customHeight="1" s="67">
      <c r="Q587" s="55" t="n"/>
    </row>
    <row r="588" ht="15.75" customHeight="1" s="67">
      <c r="Q588" s="55" t="n"/>
    </row>
    <row r="589" ht="15.75" customHeight="1" s="67">
      <c r="Q589" s="55" t="n"/>
    </row>
    <row r="590" ht="15.75" customHeight="1" s="67">
      <c r="Q590" s="55" t="n"/>
    </row>
    <row r="591" ht="15.75" customHeight="1" s="67">
      <c r="Q591" s="55" t="n"/>
    </row>
    <row r="592" ht="15.75" customHeight="1" s="67">
      <c r="Q592" s="55" t="n"/>
    </row>
    <row r="593" ht="15.75" customHeight="1" s="67">
      <c r="Q593" s="55" t="n"/>
    </row>
    <row r="594" ht="15.75" customHeight="1" s="67">
      <c r="Q594" s="55" t="n"/>
    </row>
    <row r="595" ht="15.75" customHeight="1" s="67">
      <c r="Q595" s="55" t="n"/>
    </row>
    <row r="596" ht="15.75" customHeight="1" s="67">
      <c r="Q596" s="55" t="n"/>
    </row>
    <row r="597" ht="15.75" customHeight="1" s="67">
      <c r="Q597" s="55" t="n"/>
    </row>
    <row r="598" ht="15.75" customHeight="1" s="67">
      <c r="Q598" s="55" t="n"/>
    </row>
    <row r="599" ht="15.75" customHeight="1" s="67">
      <c r="Q599" s="55" t="n"/>
    </row>
    <row r="600" ht="15.75" customHeight="1" s="67">
      <c r="Q600" s="55" t="n"/>
    </row>
    <row r="601" ht="15.75" customHeight="1" s="67">
      <c r="Q601" s="55" t="n"/>
    </row>
    <row r="602" ht="15.75" customHeight="1" s="67">
      <c r="Q602" s="55" t="n"/>
    </row>
    <row r="603" ht="15.75" customHeight="1" s="67">
      <c r="Q603" s="55" t="n"/>
    </row>
    <row r="604" ht="15.75" customHeight="1" s="67">
      <c r="Q604" s="55" t="n"/>
    </row>
    <row r="605" ht="15.75" customHeight="1" s="67">
      <c r="Q605" s="55" t="n"/>
    </row>
    <row r="606" ht="15.75" customHeight="1" s="67">
      <c r="Q606" s="55" t="n"/>
    </row>
    <row r="607" ht="15.75" customHeight="1" s="67">
      <c r="Q607" s="55" t="n"/>
    </row>
    <row r="608" ht="15.75" customHeight="1" s="67">
      <c r="Q608" s="55" t="n"/>
    </row>
    <row r="609" ht="15.75" customHeight="1" s="67">
      <c r="Q609" s="55" t="n"/>
    </row>
    <row r="610" ht="15.75" customHeight="1" s="67">
      <c r="Q610" s="55" t="n"/>
    </row>
    <row r="611" ht="15.75" customHeight="1" s="67">
      <c r="Q611" s="55" t="n"/>
    </row>
    <row r="612" ht="15.75" customHeight="1" s="67">
      <c r="Q612" s="55" t="n"/>
    </row>
    <row r="613" ht="15.75" customHeight="1" s="67">
      <c r="Q613" s="55" t="n"/>
    </row>
    <row r="614" ht="15.75" customHeight="1" s="67">
      <c r="Q614" s="55" t="n"/>
    </row>
    <row r="615" ht="15.75" customHeight="1" s="67">
      <c r="Q615" s="55" t="n"/>
    </row>
    <row r="616" ht="15.75" customHeight="1" s="67">
      <c r="Q616" s="55" t="n"/>
    </row>
    <row r="617" ht="15.75" customHeight="1" s="67">
      <c r="Q617" s="55" t="n"/>
    </row>
    <row r="618" ht="15.75" customHeight="1" s="67">
      <c r="Q618" s="55" t="n"/>
    </row>
    <row r="619" ht="15.75" customHeight="1" s="67">
      <c r="Q619" s="55" t="n"/>
    </row>
    <row r="620" ht="15.75" customHeight="1" s="67">
      <c r="Q620" s="55" t="n"/>
    </row>
    <row r="621" ht="15.75" customHeight="1" s="67">
      <c r="Q621" s="55" t="n"/>
    </row>
    <row r="622" ht="15.75" customHeight="1" s="67">
      <c r="Q622" s="55" t="n"/>
    </row>
    <row r="623" ht="15.75" customHeight="1" s="67">
      <c r="Q623" s="55" t="n"/>
    </row>
    <row r="624" ht="15.75" customHeight="1" s="67">
      <c r="Q624" s="55" t="n"/>
    </row>
    <row r="625" ht="15.75" customHeight="1" s="67">
      <c r="Q625" s="55" t="n"/>
    </row>
    <row r="626" ht="15.75" customHeight="1" s="67">
      <c r="Q626" s="55" t="n"/>
    </row>
    <row r="627" ht="15.75" customHeight="1" s="67">
      <c r="Q627" s="55" t="n"/>
    </row>
    <row r="628" ht="15.75" customHeight="1" s="67">
      <c r="Q628" s="55" t="n"/>
    </row>
    <row r="629" ht="15.75" customHeight="1" s="67">
      <c r="Q629" s="55" t="n"/>
    </row>
    <row r="630" ht="15.75" customHeight="1" s="67">
      <c r="Q630" s="55" t="n"/>
    </row>
    <row r="631" ht="15.75" customHeight="1" s="67">
      <c r="Q631" s="55" t="n"/>
    </row>
    <row r="632" ht="15.75" customHeight="1" s="67">
      <c r="Q632" s="55" t="n"/>
    </row>
    <row r="633" ht="15.75" customHeight="1" s="67">
      <c r="Q633" s="55" t="n"/>
    </row>
    <row r="634" ht="15.75" customHeight="1" s="67">
      <c r="Q634" s="55" t="n"/>
    </row>
    <row r="635" ht="15.75" customHeight="1" s="67">
      <c r="Q635" s="55" t="n"/>
    </row>
    <row r="636" ht="15.75" customHeight="1" s="67">
      <c r="Q636" s="55" t="n"/>
    </row>
    <row r="637" ht="15.75" customHeight="1" s="67">
      <c r="Q637" s="55" t="n"/>
    </row>
    <row r="638" ht="15.75" customHeight="1" s="67">
      <c r="Q638" s="55" t="n"/>
    </row>
    <row r="639" ht="15.75" customHeight="1" s="67">
      <c r="Q639" s="55" t="n"/>
    </row>
    <row r="640" ht="15.75" customHeight="1" s="67">
      <c r="Q640" s="55" t="n"/>
    </row>
    <row r="641" ht="15.75" customHeight="1" s="67">
      <c r="Q641" s="55" t="n"/>
    </row>
    <row r="642" ht="15.75" customHeight="1" s="67">
      <c r="Q642" s="55" t="n"/>
    </row>
    <row r="643" ht="15.75" customHeight="1" s="67">
      <c r="Q643" s="55" t="n"/>
    </row>
    <row r="644" ht="15.75" customHeight="1" s="67">
      <c r="Q644" s="55" t="n"/>
    </row>
    <row r="645" ht="15.75" customHeight="1" s="67">
      <c r="Q645" s="55" t="n"/>
    </row>
    <row r="646" ht="15.75" customHeight="1" s="67">
      <c r="Q646" s="55" t="n"/>
    </row>
    <row r="647" ht="15.75" customHeight="1" s="67">
      <c r="Q647" s="55" t="n"/>
    </row>
    <row r="648" ht="15.75" customHeight="1" s="67">
      <c r="Q648" s="55" t="n"/>
    </row>
    <row r="649" ht="15.75" customHeight="1" s="67">
      <c r="Q649" s="55" t="n"/>
    </row>
    <row r="650" ht="15.75" customHeight="1" s="67">
      <c r="Q650" s="55" t="n"/>
    </row>
    <row r="651" ht="15.75" customHeight="1" s="67">
      <c r="Q651" s="55" t="n"/>
    </row>
    <row r="652" ht="15.75" customHeight="1" s="67">
      <c r="Q652" s="55" t="n"/>
    </row>
    <row r="653" ht="15.75" customHeight="1" s="67">
      <c r="Q653" s="55" t="n"/>
    </row>
    <row r="654" ht="15.75" customHeight="1" s="67">
      <c r="Q654" s="55" t="n"/>
    </row>
    <row r="655" ht="15.75" customHeight="1" s="67">
      <c r="Q655" s="55" t="n"/>
    </row>
    <row r="656" ht="15.75" customHeight="1" s="67">
      <c r="Q656" s="55" t="n"/>
    </row>
    <row r="657" ht="15.75" customHeight="1" s="67">
      <c r="Q657" s="55" t="n"/>
    </row>
    <row r="658" ht="15.75" customHeight="1" s="67">
      <c r="Q658" s="55" t="n"/>
    </row>
    <row r="659" ht="15.75" customHeight="1" s="67">
      <c r="Q659" s="55" t="n"/>
    </row>
    <row r="660" ht="15.75" customHeight="1" s="67">
      <c r="Q660" s="55" t="n"/>
    </row>
    <row r="661" ht="15.75" customHeight="1" s="67">
      <c r="Q661" s="55" t="n"/>
    </row>
    <row r="662" ht="15.75" customHeight="1" s="67">
      <c r="Q662" s="55" t="n"/>
    </row>
    <row r="663" ht="15.75" customHeight="1" s="67">
      <c r="Q663" s="55" t="n"/>
    </row>
    <row r="664" ht="15.75" customHeight="1" s="67">
      <c r="Q664" s="55" t="n"/>
    </row>
    <row r="665" ht="15.75" customHeight="1" s="67">
      <c r="Q665" s="55" t="n"/>
    </row>
    <row r="666" ht="15.75" customHeight="1" s="67">
      <c r="Q666" s="55" t="n"/>
    </row>
    <row r="667" ht="15.75" customHeight="1" s="67">
      <c r="Q667" s="55" t="n"/>
    </row>
    <row r="668" ht="15.75" customHeight="1" s="67">
      <c r="Q668" s="55" t="n"/>
    </row>
    <row r="669" ht="15.75" customHeight="1" s="67">
      <c r="Q669" s="55" t="n"/>
    </row>
    <row r="670" ht="15.75" customHeight="1" s="67">
      <c r="Q670" s="55" t="n"/>
    </row>
    <row r="671" ht="15.75" customHeight="1" s="67">
      <c r="Q671" s="55" t="n"/>
    </row>
    <row r="672" ht="15.75" customHeight="1" s="67">
      <c r="Q672" s="55" t="n"/>
    </row>
    <row r="673" ht="15.75" customHeight="1" s="67">
      <c r="Q673" s="55" t="n"/>
    </row>
    <row r="674" ht="15.75" customHeight="1" s="67">
      <c r="Q674" s="55" t="n"/>
    </row>
    <row r="675" ht="15.75" customHeight="1" s="67">
      <c r="Q675" s="55" t="n"/>
    </row>
    <row r="676" ht="15.75" customHeight="1" s="67">
      <c r="Q676" s="55" t="n"/>
    </row>
    <row r="677" ht="15.75" customHeight="1" s="67">
      <c r="Q677" s="55" t="n"/>
    </row>
    <row r="678" ht="15.75" customHeight="1" s="67">
      <c r="Q678" s="55" t="n"/>
    </row>
    <row r="679" ht="15.75" customHeight="1" s="67">
      <c r="Q679" s="55" t="n"/>
    </row>
    <row r="680" ht="15.75" customHeight="1" s="67">
      <c r="Q680" s="55" t="n"/>
    </row>
    <row r="681" ht="15.75" customHeight="1" s="67">
      <c r="Q681" s="55" t="n"/>
    </row>
    <row r="682" ht="15.75" customHeight="1" s="67">
      <c r="Q682" s="55" t="n"/>
    </row>
    <row r="683" ht="15.75" customHeight="1" s="67">
      <c r="Q683" s="55" t="n"/>
    </row>
    <row r="684" ht="15.75" customHeight="1" s="67">
      <c r="Q684" s="55" t="n"/>
    </row>
    <row r="685" ht="15.75" customHeight="1" s="67">
      <c r="Q685" s="55" t="n"/>
    </row>
    <row r="686" ht="15.75" customHeight="1" s="67">
      <c r="Q686" s="55" t="n"/>
    </row>
    <row r="687" ht="15.75" customHeight="1" s="67">
      <c r="Q687" s="55" t="n"/>
    </row>
    <row r="688" ht="15.75" customHeight="1" s="67">
      <c r="Q688" s="55" t="n"/>
    </row>
    <row r="689" ht="15.75" customHeight="1" s="67">
      <c r="Q689" s="55" t="n"/>
    </row>
    <row r="690" ht="15.75" customHeight="1" s="67">
      <c r="Q690" s="55" t="n"/>
    </row>
    <row r="691" ht="15.75" customHeight="1" s="67">
      <c r="Q691" s="55" t="n"/>
    </row>
    <row r="692" ht="15.75" customHeight="1" s="67">
      <c r="Q692" s="55" t="n"/>
    </row>
    <row r="693" ht="15.75" customHeight="1" s="67">
      <c r="Q693" s="55" t="n"/>
    </row>
    <row r="694" ht="15.75" customHeight="1" s="67">
      <c r="Q694" s="55" t="n"/>
    </row>
    <row r="695" ht="15.75" customHeight="1" s="67">
      <c r="Q695" s="55" t="n"/>
    </row>
    <row r="696" ht="15.75" customHeight="1" s="67">
      <c r="Q696" s="55" t="n"/>
    </row>
    <row r="697" ht="15.75" customHeight="1" s="67">
      <c r="Q697" s="55" t="n"/>
    </row>
    <row r="698" ht="15.75" customHeight="1" s="67">
      <c r="Q698" s="55" t="n"/>
    </row>
    <row r="699" ht="15.75" customHeight="1" s="67">
      <c r="Q699" s="55" t="n"/>
    </row>
    <row r="700" ht="15.75" customHeight="1" s="67">
      <c r="Q700" s="55" t="n"/>
    </row>
    <row r="701" ht="15.75" customHeight="1" s="67">
      <c r="Q701" s="55" t="n"/>
    </row>
    <row r="702" ht="15.75" customHeight="1" s="67">
      <c r="Q702" s="55" t="n"/>
    </row>
    <row r="703" ht="15.75" customHeight="1" s="67">
      <c r="Q703" s="55" t="n"/>
    </row>
    <row r="704" ht="15.75" customHeight="1" s="67">
      <c r="Q704" s="55" t="n"/>
    </row>
    <row r="705" ht="15.75" customHeight="1" s="67">
      <c r="Q705" s="55" t="n"/>
    </row>
    <row r="706" ht="15.75" customHeight="1" s="67">
      <c r="Q706" s="55" t="n"/>
    </row>
    <row r="707" ht="15.75" customHeight="1" s="67">
      <c r="Q707" s="55" t="n"/>
    </row>
    <row r="708" ht="15.75" customHeight="1" s="67">
      <c r="Q708" s="55" t="n"/>
    </row>
    <row r="709" ht="15.75" customHeight="1" s="67">
      <c r="Q709" s="55" t="n"/>
    </row>
    <row r="710" ht="15.75" customHeight="1" s="67">
      <c r="Q710" s="55" t="n"/>
    </row>
    <row r="711" ht="15.75" customHeight="1" s="67">
      <c r="Q711" s="55" t="n"/>
    </row>
    <row r="712" ht="15.75" customHeight="1" s="67">
      <c r="Q712" s="55" t="n"/>
    </row>
    <row r="713" ht="15.75" customHeight="1" s="67">
      <c r="Q713" s="55" t="n"/>
    </row>
    <row r="714" ht="15.75" customHeight="1" s="67">
      <c r="Q714" s="55" t="n"/>
    </row>
    <row r="715" ht="15.75" customHeight="1" s="67">
      <c r="Q715" s="55" t="n"/>
    </row>
    <row r="716" ht="15.75" customHeight="1" s="67">
      <c r="Q716" s="55" t="n"/>
    </row>
    <row r="717" ht="15.75" customHeight="1" s="67">
      <c r="Q717" s="55" t="n"/>
    </row>
    <row r="718" ht="15.75" customHeight="1" s="67">
      <c r="Q718" s="55" t="n"/>
    </row>
    <row r="719" ht="15.75" customHeight="1" s="67">
      <c r="Q719" s="55" t="n"/>
    </row>
    <row r="720" ht="15.75" customHeight="1" s="67">
      <c r="Q720" s="55" t="n"/>
    </row>
    <row r="721" ht="15.75" customHeight="1" s="67">
      <c r="Q721" s="55" t="n"/>
    </row>
    <row r="722" ht="15.75" customHeight="1" s="67">
      <c r="Q722" s="55" t="n"/>
    </row>
    <row r="723" ht="15.75" customHeight="1" s="67">
      <c r="Q723" s="55" t="n"/>
    </row>
    <row r="724" ht="15.75" customHeight="1" s="67">
      <c r="Q724" s="55" t="n"/>
    </row>
    <row r="725" ht="15.75" customHeight="1" s="67">
      <c r="Q725" s="55" t="n"/>
    </row>
    <row r="726" ht="15.75" customHeight="1" s="67">
      <c r="Q726" s="55" t="n"/>
    </row>
    <row r="727" ht="15.75" customHeight="1" s="67">
      <c r="Q727" s="55" t="n"/>
    </row>
    <row r="728" ht="15.75" customHeight="1" s="67">
      <c r="Q728" s="55" t="n"/>
    </row>
    <row r="729" ht="15.75" customHeight="1" s="67">
      <c r="Q729" s="55" t="n"/>
    </row>
    <row r="730" ht="15.75" customHeight="1" s="67">
      <c r="Q730" s="55" t="n"/>
    </row>
    <row r="731" ht="15.75" customHeight="1" s="67">
      <c r="Q731" s="55" t="n"/>
    </row>
    <row r="732" ht="15.75" customHeight="1" s="67">
      <c r="Q732" s="55" t="n"/>
    </row>
    <row r="733" ht="15.75" customHeight="1" s="67">
      <c r="Q733" s="55" t="n"/>
    </row>
    <row r="734" ht="15.75" customHeight="1" s="67">
      <c r="Q734" s="55" t="n"/>
    </row>
    <row r="735" ht="15.75" customHeight="1" s="67">
      <c r="Q735" s="55" t="n"/>
    </row>
    <row r="736" ht="15.75" customHeight="1" s="67">
      <c r="Q736" s="55" t="n"/>
    </row>
    <row r="737" ht="15.75" customHeight="1" s="67">
      <c r="Q737" s="55" t="n"/>
    </row>
    <row r="738" ht="15.75" customHeight="1" s="67">
      <c r="Q738" s="55" t="n"/>
    </row>
    <row r="739" ht="15.75" customHeight="1" s="67">
      <c r="Q739" s="55" t="n"/>
    </row>
    <row r="740" ht="15.75" customHeight="1" s="67">
      <c r="Q740" s="55" t="n"/>
    </row>
    <row r="741" ht="15.75" customHeight="1" s="67">
      <c r="Q741" s="55" t="n"/>
    </row>
    <row r="742" ht="15.75" customHeight="1" s="67">
      <c r="Q742" s="55" t="n"/>
    </row>
    <row r="743" ht="15.75" customHeight="1" s="67">
      <c r="Q743" s="55" t="n"/>
    </row>
    <row r="744" ht="15.75" customHeight="1" s="67">
      <c r="Q744" s="55" t="n"/>
    </row>
    <row r="745" ht="15.75" customHeight="1" s="67">
      <c r="Q745" s="55" t="n"/>
    </row>
    <row r="746" ht="15.75" customHeight="1" s="67">
      <c r="Q746" s="55" t="n"/>
    </row>
    <row r="747" ht="15.75" customHeight="1" s="67">
      <c r="Q747" s="55" t="n"/>
    </row>
    <row r="748" ht="15.75" customHeight="1" s="67">
      <c r="Q748" s="55" t="n"/>
    </row>
    <row r="749" ht="15.75" customHeight="1" s="67">
      <c r="Q749" s="55" t="n"/>
    </row>
    <row r="750" ht="15.75" customHeight="1" s="67">
      <c r="Q750" s="55" t="n"/>
    </row>
    <row r="751" ht="15.75" customHeight="1" s="67">
      <c r="Q751" s="55" t="n"/>
    </row>
    <row r="752" ht="15.75" customHeight="1" s="67">
      <c r="Q752" s="55" t="n"/>
    </row>
    <row r="753" ht="15.75" customHeight="1" s="67">
      <c r="Q753" s="55" t="n"/>
    </row>
    <row r="754" ht="15.75" customHeight="1" s="67">
      <c r="Q754" s="55" t="n"/>
    </row>
    <row r="755" ht="15.75" customHeight="1" s="67">
      <c r="Q755" s="55" t="n"/>
    </row>
    <row r="756" ht="15.75" customHeight="1" s="67">
      <c r="Q756" s="55" t="n"/>
    </row>
    <row r="757" ht="15.75" customHeight="1" s="67">
      <c r="Q757" s="55" t="n"/>
    </row>
    <row r="758" ht="15.75" customHeight="1" s="67">
      <c r="Q758" s="55" t="n"/>
    </row>
    <row r="759" ht="15.75" customHeight="1" s="67">
      <c r="Q759" s="55" t="n"/>
    </row>
    <row r="760" ht="15.75" customHeight="1" s="67">
      <c r="Q760" s="55" t="n"/>
    </row>
    <row r="761" ht="15.75" customHeight="1" s="67">
      <c r="Q761" s="55" t="n"/>
    </row>
    <row r="762" ht="15.75" customHeight="1" s="67">
      <c r="Q762" s="55" t="n"/>
    </row>
    <row r="763" ht="15.75" customHeight="1" s="67">
      <c r="Q763" s="55" t="n"/>
    </row>
    <row r="764" ht="15.75" customHeight="1" s="67">
      <c r="Q764" s="55" t="n"/>
    </row>
    <row r="765" ht="15.75" customHeight="1" s="67">
      <c r="Q765" s="55" t="n"/>
    </row>
    <row r="766" ht="15.75" customHeight="1" s="67">
      <c r="Q766" s="55" t="n"/>
    </row>
    <row r="767" ht="15.75" customHeight="1" s="67">
      <c r="Q767" s="55" t="n"/>
    </row>
    <row r="768" ht="15.75" customHeight="1" s="67">
      <c r="Q768" s="55" t="n"/>
    </row>
    <row r="769" ht="15.75" customHeight="1" s="67">
      <c r="Q769" s="55" t="n"/>
    </row>
    <row r="770" ht="15.75" customHeight="1" s="67">
      <c r="Q770" s="55" t="n"/>
    </row>
    <row r="771" ht="15.75" customHeight="1" s="67">
      <c r="Q771" s="55" t="n"/>
    </row>
    <row r="772" ht="15.75" customHeight="1" s="67">
      <c r="Q772" s="55" t="n"/>
    </row>
    <row r="773" ht="15.75" customHeight="1" s="67">
      <c r="Q773" s="55" t="n"/>
    </row>
    <row r="774" ht="15.75" customHeight="1" s="67">
      <c r="Q774" s="55" t="n"/>
    </row>
    <row r="775" ht="15.75" customHeight="1" s="67">
      <c r="Q775" s="55" t="n"/>
    </row>
    <row r="776" ht="15.75" customHeight="1" s="67">
      <c r="Q776" s="55" t="n"/>
    </row>
    <row r="777" ht="15.75" customHeight="1" s="67">
      <c r="Q777" s="55" t="n"/>
    </row>
    <row r="778" ht="15.75" customHeight="1" s="67">
      <c r="Q778" s="55" t="n"/>
    </row>
    <row r="779" ht="15.75" customHeight="1" s="67">
      <c r="Q779" s="55" t="n"/>
    </row>
    <row r="780" ht="15.75" customHeight="1" s="67">
      <c r="Q780" s="55" t="n"/>
    </row>
    <row r="781" ht="15.75" customHeight="1" s="67">
      <c r="Q781" s="55" t="n"/>
    </row>
    <row r="782" ht="15.75" customHeight="1" s="67">
      <c r="Q782" s="55" t="n"/>
    </row>
    <row r="783" ht="15.75" customHeight="1" s="67">
      <c r="Q783" s="55" t="n"/>
    </row>
    <row r="784" ht="15.75" customHeight="1" s="67">
      <c r="Q784" s="55" t="n"/>
    </row>
    <row r="785" ht="15.75" customHeight="1" s="67">
      <c r="Q785" s="55" t="n"/>
    </row>
    <row r="786" ht="15.75" customHeight="1" s="67">
      <c r="Q786" s="55" t="n"/>
    </row>
    <row r="787" ht="15.75" customHeight="1" s="67">
      <c r="Q787" s="55" t="n"/>
    </row>
    <row r="788" ht="15.75" customHeight="1" s="67">
      <c r="Q788" s="55" t="n"/>
    </row>
    <row r="789" ht="15.75" customHeight="1" s="67">
      <c r="Q789" s="55" t="n"/>
    </row>
    <row r="790" ht="15.75" customHeight="1" s="67">
      <c r="Q790" s="55" t="n"/>
    </row>
    <row r="791" ht="15.75" customHeight="1" s="67">
      <c r="Q791" s="55" t="n"/>
    </row>
    <row r="792" ht="15.75" customHeight="1" s="67">
      <c r="Q792" s="55" t="n"/>
    </row>
    <row r="793" ht="15.75" customHeight="1" s="67">
      <c r="Q793" s="55" t="n"/>
    </row>
    <row r="794" ht="15.75" customHeight="1" s="67">
      <c r="Q794" s="55" t="n"/>
    </row>
    <row r="795" ht="15.75" customHeight="1" s="67">
      <c r="Q795" s="55" t="n"/>
    </row>
    <row r="796" ht="15.75" customHeight="1" s="67">
      <c r="Q796" s="55" t="n"/>
    </row>
    <row r="797" ht="15.75" customHeight="1" s="67">
      <c r="Q797" s="55" t="n"/>
    </row>
    <row r="798" ht="15.75" customHeight="1" s="67">
      <c r="Q798" s="55" t="n"/>
    </row>
    <row r="799" ht="15.75" customHeight="1" s="67">
      <c r="Q799" s="55" t="n"/>
    </row>
    <row r="800" ht="15.75" customHeight="1" s="67">
      <c r="Q800" s="55" t="n"/>
    </row>
    <row r="801" ht="15.75" customHeight="1" s="67">
      <c r="Q801" s="55" t="n"/>
    </row>
    <row r="802" ht="15.75" customHeight="1" s="67">
      <c r="Q802" s="55" t="n"/>
    </row>
    <row r="803" ht="15.75" customHeight="1" s="67">
      <c r="Q803" s="55" t="n"/>
    </row>
    <row r="804" ht="15.75" customHeight="1" s="67">
      <c r="Q804" s="55" t="n"/>
    </row>
    <row r="805" ht="15.75" customHeight="1" s="67">
      <c r="Q805" s="55" t="n"/>
    </row>
    <row r="806" ht="15.75" customHeight="1" s="67">
      <c r="Q806" s="55" t="n"/>
    </row>
    <row r="807" ht="15.75" customHeight="1" s="67">
      <c r="Q807" s="55" t="n"/>
    </row>
    <row r="808" ht="15.75" customHeight="1" s="67">
      <c r="Q808" s="55" t="n"/>
    </row>
    <row r="809" ht="15.75" customHeight="1" s="67">
      <c r="Q809" s="55" t="n"/>
    </row>
    <row r="810" ht="15.75" customHeight="1" s="67">
      <c r="Q810" s="55" t="n"/>
    </row>
    <row r="811" ht="15.75" customHeight="1" s="67">
      <c r="Q811" s="55" t="n"/>
    </row>
    <row r="812" ht="15.75" customHeight="1" s="67">
      <c r="Q812" s="55" t="n"/>
    </row>
    <row r="813" ht="15.75" customHeight="1" s="67">
      <c r="Q813" s="55" t="n"/>
    </row>
    <row r="814" ht="15.75" customHeight="1" s="67">
      <c r="Q814" s="55" t="n"/>
    </row>
    <row r="815" ht="15.75" customHeight="1" s="67">
      <c r="Q815" s="55" t="n"/>
    </row>
    <row r="816" ht="15.75" customHeight="1" s="67">
      <c r="Q816" s="55" t="n"/>
    </row>
    <row r="817" ht="15.75" customHeight="1" s="67">
      <c r="Q817" s="55" t="n"/>
    </row>
    <row r="818" ht="15.75" customHeight="1" s="67">
      <c r="Q818" s="55" t="n"/>
    </row>
    <row r="819" ht="15.75" customHeight="1" s="67">
      <c r="Q819" s="55" t="n"/>
    </row>
    <row r="820" ht="15.75" customHeight="1" s="67">
      <c r="Q820" s="55" t="n"/>
    </row>
    <row r="821" ht="15.75" customHeight="1" s="67">
      <c r="Q821" s="55" t="n"/>
    </row>
    <row r="822" ht="15.75" customHeight="1" s="67">
      <c r="Q822" s="55" t="n"/>
    </row>
    <row r="823" ht="15.75" customHeight="1" s="67">
      <c r="Q823" s="55" t="n"/>
    </row>
    <row r="824" ht="15.75" customHeight="1" s="67">
      <c r="Q824" s="55" t="n"/>
    </row>
    <row r="825" ht="15.75" customHeight="1" s="67">
      <c r="Q825" s="55" t="n"/>
    </row>
    <row r="826" ht="15.75" customHeight="1" s="67">
      <c r="Q826" s="55" t="n"/>
    </row>
    <row r="827" ht="15.75" customHeight="1" s="67">
      <c r="Q827" s="55" t="n"/>
    </row>
    <row r="828" ht="15.75" customHeight="1" s="67">
      <c r="Q828" s="55" t="n"/>
    </row>
    <row r="829" ht="15.75" customHeight="1" s="67">
      <c r="Q829" s="55" t="n"/>
    </row>
    <row r="830" ht="15.75" customHeight="1" s="67">
      <c r="Q830" s="55" t="n"/>
    </row>
    <row r="831" ht="15.75" customHeight="1" s="67">
      <c r="Q831" s="55" t="n"/>
    </row>
    <row r="832" ht="15.75" customHeight="1" s="67">
      <c r="Q832" s="55" t="n"/>
    </row>
    <row r="833" ht="15.75" customHeight="1" s="67">
      <c r="Q833" s="55" t="n"/>
    </row>
    <row r="834" ht="15.75" customHeight="1" s="67">
      <c r="Q834" s="55" t="n"/>
    </row>
    <row r="835" ht="15.75" customHeight="1" s="67">
      <c r="Q835" s="55" t="n"/>
    </row>
    <row r="836" ht="15.75" customHeight="1" s="67">
      <c r="Q836" s="55" t="n"/>
    </row>
    <row r="837" ht="15.75" customHeight="1" s="67">
      <c r="Q837" s="55" t="n"/>
    </row>
    <row r="838" ht="15.75" customHeight="1" s="67">
      <c r="Q838" s="55" t="n"/>
    </row>
    <row r="839" ht="15.75" customHeight="1" s="67">
      <c r="Q839" s="55" t="n"/>
    </row>
    <row r="840" ht="15.75" customHeight="1" s="67">
      <c r="Q840" s="55" t="n"/>
    </row>
    <row r="841" ht="15.75" customHeight="1" s="67">
      <c r="Q841" s="55" t="n"/>
    </row>
    <row r="842" ht="15.75" customHeight="1" s="67">
      <c r="Q842" s="55" t="n"/>
    </row>
    <row r="843" ht="15.75" customHeight="1" s="67">
      <c r="Q843" s="55" t="n"/>
    </row>
    <row r="844" ht="15.75" customHeight="1" s="67">
      <c r="Q844" s="55" t="n"/>
    </row>
    <row r="845" ht="15.75" customHeight="1" s="67">
      <c r="Q845" s="55" t="n"/>
    </row>
    <row r="846" ht="15.75" customHeight="1" s="67">
      <c r="Q846" s="55" t="n"/>
    </row>
    <row r="847" ht="15.75" customHeight="1" s="67">
      <c r="Q847" s="55" t="n"/>
    </row>
    <row r="848" ht="15.75" customHeight="1" s="67">
      <c r="Q848" s="55" t="n"/>
    </row>
    <row r="849" ht="15.75" customHeight="1" s="67">
      <c r="Q849" s="55" t="n"/>
    </row>
    <row r="850" ht="15.75" customHeight="1" s="67">
      <c r="Q850" s="55" t="n"/>
    </row>
    <row r="851" ht="15.75" customHeight="1" s="67">
      <c r="Q851" s="55" t="n"/>
    </row>
    <row r="852" ht="15.75" customHeight="1" s="67">
      <c r="Q852" s="55" t="n"/>
    </row>
    <row r="853" ht="15.75" customHeight="1" s="67">
      <c r="Q853" s="55" t="n"/>
    </row>
    <row r="854" ht="15.75" customHeight="1" s="67">
      <c r="Q854" s="55" t="n"/>
    </row>
    <row r="855" ht="15.75" customHeight="1" s="67">
      <c r="Q855" s="55" t="n"/>
    </row>
    <row r="856" ht="15.75" customHeight="1" s="67">
      <c r="Q856" s="55" t="n"/>
    </row>
    <row r="857" ht="15.75" customHeight="1" s="67">
      <c r="Q857" s="55" t="n"/>
    </row>
    <row r="858" ht="15.75" customHeight="1" s="67">
      <c r="Q858" s="55" t="n"/>
    </row>
    <row r="859" ht="15.75" customHeight="1" s="67">
      <c r="Q859" s="55" t="n"/>
    </row>
    <row r="860" ht="15.75" customHeight="1" s="67">
      <c r="Q860" s="55" t="n"/>
    </row>
    <row r="861" ht="15.75" customHeight="1" s="67">
      <c r="Q861" s="55" t="n"/>
    </row>
    <row r="862" ht="15.75" customHeight="1" s="67">
      <c r="Q862" s="55" t="n"/>
    </row>
    <row r="863" ht="15.75" customHeight="1" s="67">
      <c r="Q863" s="55" t="n"/>
    </row>
    <row r="864" ht="15.75" customHeight="1" s="67">
      <c r="Q864" s="55" t="n"/>
    </row>
    <row r="865" ht="15.75" customHeight="1" s="67">
      <c r="Q865" s="55" t="n"/>
    </row>
    <row r="866" ht="15.75" customHeight="1" s="67">
      <c r="Q866" s="55" t="n"/>
    </row>
    <row r="867" ht="15.75" customHeight="1" s="67">
      <c r="Q867" s="55" t="n"/>
    </row>
    <row r="868" ht="15.75" customHeight="1" s="67">
      <c r="Q868" s="55" t="n"/>
    </row>
    <row r="869" ht="15.75" customHeight="1" s="67">
      <c r="Q869" s="55" t="n"/>
    </row>
    <row r="870" ht="15.75" customHeight="1" s="67">
      <c r="Q870" s="55" t="n"/>
    </row>
    <row r="871" ht="15.75" customHeight="1" s="67">
      <c r="Q871" s="55" t="n"/>
    </row>
    <row r="872" ht="15.75" customHeight="1" s="67">
      <c r="Q872" s="55" t="n"/>
    </row>
    <row r="873" ht="15.75" customHeight="1" s="67">
      <c r="Q873" s="55" t="n"/>
    </row>
    <row r="874" ht="15.75" customHeight="1" s="67">
      <c r="Q874" s="55" t="n"/>
    </row>
    <row r="875" ht="15.75" customHeight="1" s="67">
      <c r="Q875" s="55" t="n"/>
    </row>
    <row r="876" ht="15.75" customHeight="1" s="67">
      <c r="Q876" s="55" t="n"/>
    </row>
    <row r="877" ht="15.75" customHeight="1" s="67">
      <c r="Q877" s="55" t="n"/>
    </row>
    <row r="878" ht="15.75" customHeight="1" s="67">
      <c r="Q878" s="55" t="n"/>
    </row>
    <row r="879" ht="15.75" customHeight="1" s="67">
      <c r="Q879" s="55" t="n"/>
    </row>
    <row r="880" ht="15.75" customHeight="1" s="67">
      <c r="Q880" s="55" t="n"/>
    </row>
    <row r="881" ht="15.75" customHeight="1" s="67">
      <c r="Q881" s="55" t="n"/>
    </row>
    <row r="882" ht="15.75" customHeight="1" s="67">
      <c r="Q882" s="55" t="n"/>
    </row>
    <row r="883" ht="15.75" customHeight="1" s="67">
      <c r="Q883" s="55" t="n"/>
    </row>
    <row r="884" ht="15.75" customHeight="1" s="67">
      <c r="Q884" s="55" t="n"/>
    </row>
    <row r="885" ht="15.75" customHeight="1" s="67">
      <c r="Q885" s="55" t="n"/>
    </row>
    <row r="886" ht="15.75" customHeight="1" s="67">
      <c r="Q886" s="55" t="n"/>
    </row>
    <row r="887" ht="15.75" customHeight="1" s="67">
      <c r="Q887" s="55" t="n"/>
    </row>
    <row r="888" ht="15.75" customHeight="1" s="67">
      <c r="Q888" s="55" t="n"/>
    </row>
    <row r="889" ht="15.75" customHeight="1" s="67">
      <c r="Q889" s="55" t="n"/>
    </row>
    <row r="890" ht="15.75" customHeight="1" s="67">
      <c r="Q890" s="55" t="n"/>
    </row>
    <row r="891" ht="15.75" customHeight="1" s="67">
      <c r="Q891" s="55" t="n"/>
    </row>
    <row r="892" ht="15.75" customHeight="1" s="67">
      <c r="Q892" s="55" t="n"/>
    </row>
    <row r="893" ht="15.75" customHeight="1" s="67">
      <c r="Q893" s="55" t="n"/>
    </row>
    <row r="894" ht="15.75" customHeight="1" s="67">
      <c r="Q894" s="55" t="n"/>
    </row>
    <row r="895" ht="15.75" customHeight="1" s="67">
      <c r="Q895" s="55" t="n"/>
    </row>
    <row r="896" ht="15.75" customHeight="1" s="67">
      <c r="Q896" s="55" t="n"/>
    </row>
    <row r="897" ht="15.75" customHeight="1" s="67">
      <c r="Q897" s="55" t="n"/>
    </row>
    <row r="898" ht="15.75" customHeight="1" s="67">
      <c r="Q898" s="55" t="n"/>
    </row>
    <row r="899" ht="15.75" customHeight="1" s="67">
      <c r="Q899" s="55" t="n"/>
    </row>
    <row r="900" ht="15.75" customHeight="1" s="67">
      <c r="Q900" s="55" t="n"/>
    </row>
    <row r="901" ht="15.75" customHeight="1" s="67">
      <c r="Q901" s="55" t="n"/>
    </row>
    <row r="902" ht="15.75" customHeight="1" s="67">
      <c r="Q902" s="55" t="n"/>
    </row>
    <row r="903" ht="15.75" customHeight="1" s="67">
      <c r="Q903" s="55" t="n"/>
    </row>
    <row r="904" ht="15.75" customHeight="1" s="67">
      <c r="Q904" s="55" t="n"/>
    </row>
    <row r="905" ht="15.75" customHeight="1" s="67">
      <c r="Q905" s="55" t="n"/>
    </row>
    <row r="906" ht="15.75" customHeight="1" s="67">
      <c r="Q906" s="55" t="n"/>
    </row>
    <row r="907" ht="15.75" customHeight="1" s="67">
      <c r="Q907" s="55" t="n"/>
    </row>
    <row r="908" ht="15.75" customHeight="1" s="67">
      <c r="Q908" s="55" t="n"/>
    </row>
    <row r="909" ht="15.75" customHeight="1" s="67">
      <c r="Q909" s="55" t="n"/>
    </row>
    <row r="910" ht="15.75" customHeight="1" s="67">
      <c r="Q910" s="55" t="n"/>
    </row>
    <row r="911" ht="15.75" customHeight="1" s="67">
      <c r="Q911" s="55" t="n"/>
    </row>
    <row r="912" ht="15.75" customHeight="1" s="67">
      <c r="Q912" s="55" t="n"/>
    </row>
    <row r="913" ht="15.75" customHeight="1" s="67">
      <c r="Q913" s="55" t="n"/>
    </row>
    <row r="914" ht="15.75" customHeight="1" s="67">
      <c r="Q914" s="55" t="n"/>
    </row>
    <row r="915" ht="15.75" customHeight="1" s="67">
      <c r="Q915" s="55" t="n"/>
    </row>
    <row r="916" ht="15.75" customHeight="1" s="67">
      <c r="Q916" s="55" t="n"/>
    </row>
    <row r="917" ht="15.75" customHeight="1" s="67">
      <c r="Q917" s="55" t="n"/>
    </row>
    <row r="918" ht="15.75" customHeight="1" s="67">
      <c r="Q918" s="55" t="n"/>
    </row>
    <row r="919" ht="15.75" customHeight="1" s="67">
      <c r="Q919" s="55" t="n"/>
    </row>
    <row r="920" ht="15.75" customHeight="1" s="67">
      <c r="Q920" s="55" t="n"/>
    </row>
    <row r="921" ht="15.75" customHeight="1" s="67">
      <c r="Q921" s="55" t="n"/>
    </row>
    <row r="922" ht="15.75" customHeight="1" s="67">
      <c r="Q922" s="55" t="n"/>
    </row>
    <row r="923" ht="15.75" customHeight="1" s="67">
      <c r="Q923" s="55" t="n"/>
    </row>
    <row r="924" ht="15.75" customHeight="1" s="67">
      <c r="Q924" s="55" t="n"/>
    </row>
    <row r="925" ht="15.75" customHeight="1" s="67">
      <c r="Q925" s="55" t="n"/>
    </row>
    <row r="926" ht="15.75" customHeight="1" s="67">
      <c r="Q926" s="55" t="n"/>
    </row>
    <row r="927" ht="15.75" customHeight="1" s="67">
      <c r="Q927" s="55" t="n"/>
    </row>
    <row r="928" ht="15.75" customHeight="1" s="67">
      <c r="Q928" s="55" t="n"/>
    </row>
    <row r="929" ht="15.75" customHeight="1" s="67">
      <c r="Q929" s="55" t="n"/>
    </row>
    <row r="930" ht="15.75" customHeight="1" s="67">
      <c r="Q930" s="55" t="n"/>
    </row>
    <row r="931" ht="15.75" customHeight="1" s="67">
      <c r="Q931" s="55" t="n"/>
    </row>
    <row r="932" ht="15.75" customHeight="1" s="67">
      <c r="Q932" s="55" t="n"/>
    </row>
    <row r="933" ht="15.75" customHeight="1" s="67">
      <c r="Q933" s="55" t="n"/>
    </row>
    <row r="934" ht="15.75" customHeight="1" s="67">
      <c r="Q934" s="55" t="n"/>
    </row>
    <row r="935" ht="15.75" customHeight="1" s="67">
      <c r="Q935" s="55" t="n"/>
    </row>
    <row r="936" ht="15.75" customHeight="1" s="67">
      <c r="Q936" s="55" t="n"/>
    </row>
    <row r="937" ht="15.75" customHeight="1" s="67">
      <c r="Q937" s="55" t="n"/>
    </row>
    <row r="938" ht="15.75" customHeight="1" s="67">
      <c r="Q938" s="55" t="n"/>
    </row>
    <row r="939" ht="15.75" customHeight="1" s="67">
      <c r="Q939" s="55" t="n"/>
    </row>
    <row r="940" ht="15.75" customHeight="1" s="67">
      <c r="Q940" s="55" t="n"/>
    </row>
    <row r="941" ht="15.75" customHeight="1" s="67">
      <c r="Q941" s="55" t="n"/>
    </row>
    <row r="942" ht="15.75" customHeight="1" s="67">
      <c r="Q942" s="55" t="n"/>
    </row>
    <row r="943" ht="15.75" customHeight="1" s="67">
      <c r="Q943" s="55" t="n"/>
    </row>
    <row r="944" ht="15.75" customHeight="1" s="67">
      <c r="Q944" s="55" t="n"/>
    </row>
    <row r="945" ht="15.75" customHeight="1" s="67">
      <c r="Q945" s="55" t="n"/>
    </row>
    <row r="946" ht="15.75" customHeight="1" s="67">
      <c r="Q946" s="55" t="n"/>
    </row>
    <row r="947" ht="15.75" customHeight="1" s="67">
      <c r="Q947" s="55" t="n"/>
    </row>
    <row r="948" ht="15.75" customHeight="1" s="67">
      <c r="Q948" s="55" t="n"/>
    </row>
    <row r="949" ht="15.75" customHeight="1" s="67">
      <c r="Q949" s="55" t="n"/>
    </row>
    <row r="950" ht="15.75" customHeight="1" s="67">
      <c r="Q950" s="55" t="n"/>
    </row>
    <row r="951" ht="15.75" customHeight="1" s="67">
      <c r="Q951" s="55" t="n"/>
    </row>
    <row r="952" ht="15.75" customHeight="1" s="67">
      <c r="Q952" s="55" t="n"/>
    </row>
    <row r="953" ht="15.75" customHeight="1" s="67">
      <c r="Q953" s="55" t="n"/>
    </row>
    <row r="954" ht="15.75" customHeight="1" s="67">
      <c r="Q954" s="55" t="n"/>
    </row>
    <row r="955" ht="15.75" customHeight="1" s="67">
      <c r="Q955" s="55" t="n"/>
    </row>
    <row r="956" ht="15.75" customHeight="1" s="67">
      <c r="Q956" s="55" t="n"/>
    </row>
    <row r="957" ht="15.75" customHeight="1" s="67">
      <c r="Q957" s="55" t="n"/>
    </row>
    <row r="958" ht="15.75" customHeight="1" s="67">
      <c r="Q958" s="55" t="n"/>
    </row>
    <row r="959" ht="15.75" customHeight="1" s="67">
      <c r="Q959" s="55" t="n"/>
    </row>
    <row r="960" ht="15.75" customHeight="1" s="67">
      <c r="Q960" s="55" t="n"/>
    </row>
    <row r="961" ht="15.75" customHeight="1" s="67">
      <c r="Q961" s="55" t="n"/>
    </row>
    <row r="962" ht="15.75" customHeight="1" s="67">
      <c r="Q962" s="55" t="n"/>
    </row>
    <row r="963" ht="15.75" customHeight="1" s="67">
      <c r="Q963" s="55" t="n"/>
    </row>
    <row r="964" ht="15.75" customHeight="1" s="67">
      <c r="Q964" s="55" t="n"/>
    </row>
    <row r="965" ht="15.75" customHeight="1" s="67">
      <c r="Q965" s="55" t="n"/>
    </row>
    <row r="966" ht="15.75" customHeight="1" s="67">
      <c r="Q966" s="55" t="n"/>
    </row>
    <row r="967" ht="15.75" customHeight="1" s="67">
      <c r="Q967" s="55" t="n"/>
    </row>
    <row r="968" ht="15.75" customHeight="1" s="67">
      <c r="Q968" s="55" t="n"/>
    </row>
    <row r="969" ht="15.75" customHeight="1" s="67">
      <c r="Q969" s="55" t="n"/>
    </row>
    <row r="970" ht="15.75" customHeight="1" s="67">
      <c r="Q970" s="55" t="n"/>
    </row>
    <row r="971" ht="15.75" customHeight="1" s="67">
      <c r="Q971" s="55" t="n"/>
    </row>
    <row r="972" ht="15.75" customHeight="1" s="67">
      <c r="Q972" s="55" t="n"/>
    </row>
    <row r="973" ht="15.75" customHeight="1" s="67">
      <c r="Q973" s="55" t="n"/>
    </row>
    <row r="974" ht="15.75" customHeight="1" s="67">
      <c r="Q974" s="55" t="n"/>
    </row>
    <row r="975" ht="15.75" customHeight="1" s="67">
      <c r="Q975" s="55" t="n"/>
    </row>
    <row r="976" ht="15.75" customHeight="1" s="67">
      <c r="Q976" s="55" t="n"/>
    </row>
    <row r="977" ht="15.75" customHeight="1" s="67">
      <c r="Q977" s="55" t="n"/>
    </row>
    <row r="978" ht="15.75" customHeight="1" s="67">
      <c r="Q978" s="55" t="n"/>
    </row>
    <row r="979" ht="15.75" customHeight="1" s="67">
      <c r="Q979" s="55" t="n"/>
    </row>
    <row r="980" ht="15.75" customHeight="1" s="67">
      <c r="Q980" s="55" t="n"/>
    </row>
    <row r="981" ht="15.75" customHeight="1" s="67">
      <c r="Q981" s="55" t="n"/>
    </row>
    <row r="982" ht="15.75" customHeight="1" s="67">
      <c r="Q982" s="55" t="n"/>
    </row>
    <row r="983" ht="15.75" customHeight="1" s="67">
      <c r="Q983" s="55" t="n"/>
    </row>
    <row r="984" ht="15.75" customHeight="1" s="67">
      <c r="Q984" s="55" t="n"/>
    </row>
    <row r="985" ht="15.75" customHeight="1" s="67">
      <c r="Q985" s="55" t="n"/>
    </row>
    <row r="986" ht="15.75" customHeight="1" s="67">
      <c r="Q986" s="55" t="n"/>
    </row>
    <row r="987" ht="15.75" customHeight="1" s="67">
      <c r="Q987" s="55" t="n"/>
    </row>
    <row r="988" ht="15.75" customHeight="1" s="67">
      <c r="Q988" s="55" t="n"/>
    </row>
    <row r="989" ht="15.75" customHeight="1" s="67">
      <c r="Q989" s="55" t="n"/>
    </row>
    <row r="990" ht="15.75" customHeight="1" s="67">
      <c r="Q990" s="55" t="n"/>
    </row>
    <row r="991" ht="15.75" customHeight="1" s="67">
      <c r="Q991" s="55" t="n"/>
    </row>
    <row r="992" ht="15.75" customHeight="1" s="67">
      <c r="Q992" s="55" t="n"/>
    </row>
    <row r="993" ht="15.75" customHeight="1" s="67">
      <c r="Q993" s="55" t="n"/>
    </row>
    <row r="994" ht="15.75" customHeight="1" s="67">
      <c r="Q994" s="55" t="n"/>
    </row>
    <row r="995" ht="15.75" customHeight="1" s="67">
      <c r="Q995" s="55" t="n"/>
    </row>
    <row r="996" ht="15.75" customHeight="1" s="67">
      <c r="Q996" s="55" t="n"/>
    </row>
    <row r="997" ht="15.75" customHeight="1" s="67">
      <c r="Q997" s="55" t="n"/>
    </row>
    <row r="998" ht="15.75" customHeight="1" s="67">
      <c r="Q998" s="55" t="n"/>
    </row>
    <row r="999" ht="15.75" customHeight="1" s="67">
      <c r="Q999" s="55" t="n"/>
    </row>
    <row r="1000" ht="15.75" customHeight="1" s="67">
      <c r="Q1000" s="55" t="n"/>
    </row>
  </sheetData>
  <autoFilter ref="A1:AD31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2026-10-20T09:45:41Z</dcterms:created>
  <dcterms:modified xmlns:dcterms="http://purl.org/dc/terms/" xmlns:xsi="http://www.w3.org/2001/XMLSchema-instance" xsi:type="dcterms:W3CDTF">2026-10-20T09:45:42Z</dcterms:modified>
</cp:coreProperties>
</file>